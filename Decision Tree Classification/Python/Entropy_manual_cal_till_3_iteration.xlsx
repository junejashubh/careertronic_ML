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hubhamjuneja/vscode/personal_projects/careertronic/classification/careertronic_classification/Decision Tree Classification/Python/"/>
    </mc:Choice>
  </mc:AlternateContent>
  <xr:revisionPtr revIDLastSave="0" documentId="8_{E2C4915D-B4A0-9F4D-9DE6-350D863A3133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Data" sheetId="1" r:id="rId1"/>
    <sheet name="Iteration 1" sheetId="3" r:id="rId2"/>
    <sheet name="Iteration 2" sheetId="4" r:id="rId3"/>
    <sheet name="Iteration 3" sheetId="5" r:id="rId4"/>
  </sheets>
  <definedNames>
    <definedName name="_xlnm._FilterDatabase" localSheetId="0" hidden="1">Data!$A$1:$E$33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5" l="1"/>
  <c r="G33" i="5"/>
  <c r="F33" i="5"/>
  <c r="G43" i="5"/>
  <c r="I43" i="5" s="1"/>
  <c r="F43" i="5"/>
  <c r="G42" i="5"/>
  <c r="I42" i="5" s="1"/>
  <c r="F42" i="5"/>
  <c r="I33" i="5"/>
  <c r="G32" i="5"/>
  <c r="I32" i="5" s="1"/>
  <c r="F32" i="5"/>
  <c r="G18" i="5"/>
  <c r="I18" i="5" s="1"/>
  <c r="F18" i="5"/>
  <c r="G17" i="5"/>
  <c r="I17" i="5" s="1"/>
  <c r="F17" i="5"/>
  <c r="G8" i="5"/>
  <c r="I8" i="5" s="1"/>
  <c r="F8" i="5"/>
  <c r="G7" i="5"/>
  <c r="I7" i="5" s="1"/>
  <c r="F7" i="5"/>
  <c r="G50" i="4"/>
  <c r="J7" i="4"/>
  <c r="F62" i="4"/>
  <c r="H62" i="4" s="1"/>
  <c r="E62" i="4"/>
  <c r="F61" i="4"/>
  <c r="H61" i="4" s="1"/>
  <c r="E61" i="4"/>
  <c r="F51" i="4"/>
  <c r="H51" i="4" s="1"/>
  <c r="E51" i="4"/>
  <c r="F50" i="4"/>
  <c r="H50" i="4" s="1"/>
  <c r="E50" i="4"/>
  <c r="F40" i="4"/>
  <c r="H40" i="4" s="1"/>
  <c r="E40" i="4"/>
  <c r="F39" i="4"/>
  <c r="H39" i="4" s="1"/>
  <c r="E39" i="4"/>
  <c r="F30" i="4"/>
  <c r="H30" i="4" s="1"/>
  <c r="E30" i="4"/>
  <c r="F29" i="4"/>
  <c r="H29" i="4" s="1"/>
  <c r="E29" i="4"/>
  <c r="F19" i="4"/>
  <c r="H19" i="4" s="1"/>
  <c r="E19" i="4"/>
  <c r="F18" i="4"/>
  <c r="H18" i="4" s="1"/>
  <c r="E18" i="4"/>
  <c r="H8" i="4"/>
  <c r="F8" i="4"/>
  <c r="E8" i="4"/>
  <c r="F7" i="4"/>
  <c r="H7" i="4" s="1"/>
  <c r="E7" i="4"/>
  <c r="F30" i="3"/>
  <c r="H30" i="3" s="1"/>
  <c r="E30" i="3"/>
  <c r="F29" i="3"/>
  <c r="H29" i="3" s="1"/>
  <c r="E29" i="3"/>
  <c r="F22" i="3"/>
  <c r="H22" i="3" s="1"/>
  <c r="E22" i="3"/>
  <c r="F21" i="3"/>
  <c r="H21" i="3" s="1"/>
  <c r="E21" i="3"/>
  <c r="F13" i="3"/>
  <c r="H13" i="3" s="1"/>
  <c r="E13" i="3"/>
  <c r="F12" i="3"/>
  <c r="H12" i="3" s="1"/>
  <c r="E12" i="3"/>
  <c r="J5" i="3"/>
  <c r="I6" i="3"/>
  <c r="I5" i="3"/>
  <c r="H6" i="3"/>
  <c r="H5" i="3"/>
  <c r="G6" i="3"/>
  <c r="G5" i="3"/>
  <c r="F5" i="3"/>
  <c r="F6" i="3"/>
  <c r="E5" i="3"/>
  <c r="E6" i="3"/>
  <c r="H43" i="5" l="1"/>
  <c r="J43" i="5" s="1"/>
  <c r="H42" i="5"/>
  <c r="J42" i="5" s="1"/>
  <c r="J33" i="5"/>
  <c r="H32" i="5"/>
  <c r="J32" i="5" s="1"/>
  <c r="H18" i="5"/>
  <c r="J18" i="5" s="1"/>
  <c r="H17" i="5"/>
  <c r="J17" i="5" s="1"/>
  <c r="H8" i="5"/>
  <c r="J8" i="5" s="1"/>
  <c r="H7" i="5"/>
  <c r="J7" i="5" s="1"/>
  <c r="K7" i="5" s="1"/>
  <c r="G62" i="4"/>
  <c r="I62" i="4" s="1"/>
  <c r="G61" i="4"/>
  <c r="I61" i="4" s="1"/>
  <c r="G51" i="4"/>
  <c r="I51" i="4" s="1"/>
  <c r="I50" i="4"/>
  <c r="J50" i="4" s="1"/>
  <c r="G40" i="4"/>
  <c r="I40" i="4" s="1"/>
  <c r="G39" i="4"/>
  <c r="I39" i="4" s="1"/>
  <c r="G30" i="4"/>
  <c r="I30" i="4" s="1"/>
  <c r="G29" i="4"/>
  <c r="I29" i="4" s="1"/>
  <c r="J29" i="4" s="1"/>
  <c r="G19" i="4"/>
  <c r="I19" i="4" s="1"/>
  <c r="G18" i="4"/>
  <c r="I18" i="4" s="1"/>
  <c r="G8" i="4"/>
  <c r="I8" i="4" s="1"/>
  <c r="G7" i="4"/>
  <c r="I7" i="4" s="1"/>
  <c r="G30" i="3"/>
  <c r="I30" i="3" s="1"/>
  <c r="G29" i="3"/>
  <c r="I29" i="3" s="1"/>
  <c r="J29" i="3" s="1"/>
  <c r="G22" i="3"/>
  <c r="I22" i="3" s="1"/>
  <c r="G21" i="3"/>
  <c r="I21" i="3" s="1"/>
  <c r="G13" i="3"/>
  <c r="I13" i="3" s="1"/>
  <c r="G12" i="3"/>
  <c r="I12" i="3" s="1"/>
  <c r="K42" i="5" l="1"/>
  <c r="K32" i="5"/>
  <c r="K17" i="5"/>
  <c r="J61" i="4"/>
  <c r="J39" i="4"/>
  <c r="J18" i="4"/>
  <c r="J21" i="3"/>
  <c r="J12" i="3"/>
</calcChain>
</file>

<file path=xl/sharedStrings.xml><?xml version="1.0" encoding="utf-8"?>
<sst xmlns="http://schemas.openxmlformats.org/spreadsheetml/2006/main" count="402" uniqueCount="19">
  <si>
    <t>Study</t>
  </si>
  <si>
    <t>Attendance</t>
  </si>
  <si>
    <t>Assignment</t>
  </si>
  <si>
    <t>Sleep</t>
  </si>
  <si>
    <t>Pass</t>
  </si>
  <si>
    <t>No</t>
  </si>
  <si>
    <t>Yes</t>
  </si>
  <si>
    <t>Row Labels</t>
  </si>
  <si>
    <t>Column Labels</t>
  </si>
  <si>
    <t>Count of Study</t>
  </si>
  <si>
    <t>Entropy</t>
  </si>
  <si>
    <t>Probablity of Yes</t>
  </si>
  <si>
    <t>Probablity of No</t>
  </si>
  <si>
    <t>Surprise Yes</t>
  </si>
  <si>
    <t>Surprise No</t>
  </si>
  <si>
    <t>Entropy of study</t>
  </si>
  <si>
    <t>Entropy of Assignment</t>
  </si>
  <si>
    <t>Entropy of Attendance</t>
  </si>
  <si>
    <t>Entropy of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</si>
</sst>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5" borderId="0" xfId="0" applyFill="1" applyAlignment="1">
      <alignment horizontal="left"/>
    </xf>
    <xf numFmtId="0" fontId="0" fillId="6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bgColor theme="7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juneja" refreshedDate="46241.269618402781" createdVersion="8" refreshedVersion="8" minRefreshableVersion="3" recordCount="32" xr:uid="{A61A7648-A889-F843-B8CF-CF97D3A1F0A5}">
  <cacheSource type="worksheet">
    <worksheetSource ref="A1:E33" sheet="Data"/>
  </cacheSource>
  <cacheFields count="5">
    <cacheField name="Study" numFmtId="0">
      <sharedItems count="2">
        <s v="No"/>
        <s v="Yes"/>
      </sharedItems>
    </cacheField>
    <cacheField name="Attendance" numFmtId="0">
      <sharedItems count="2">
        <s v="No"/>
        <s v="Yes"/>
      </sharedItems>
    </cacheField>
    <cacheField name="Assignment" numFmtId="0">
      <sharedItems count="2">
        <s v="No"/>
        <s v="Yes"/>
      </sharedItems>
    </cacheField>
    <cacheField name="Sleep" numFmtId="0">
      <sharedItems count="2">
        <s v="No"/>
        <s v="Yes"/>
      </sharedItems>
    </cacheField>
    <cacheField name="Pass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x v="0"/>
    <x v="0"/>
  </r>
  <r>
    <x v="0"/>
    <x v="0"/>
    <x v="0"/>
    <x v="0"/>
    <x v="0"/>
  </r>
  <r>
    <x v="0"/>
    <x v="0"/>
    <x v="0"/>
    <x v="1"/>
    <x v="0"/>
  </r>
  <r>
    <x v="0"/>
    <x v="0"/>
    <x v="0"/>
    <x v="1"/>
    <x v="0"/>
  </r>
  <r>
    <x v="0"/>
    <x v="0"/>
    <x v="1"/>
    <x v="0"/>
    <x v="0"/>
  </r>
  <r>
    <x v="0"/>
    <x v="0"/>
    <x v="1"/>
    <x v="0"/>
    <x v="0"/>
  </r>
  <r>
    <x v="0"/>
    <x v="0"/>
    <x v="1"/>
    <x v="1"/>
    <x v="0"/>
  </r>
  <r>
    <x v="0"/>
    <x v="0"/>
    <x v="1"/>
    <x v="1"/>
    <x v="0"/>
  </r>
  <r>
    <x v="0"/>
    <x v="1"/>
    <x v="0"/>
    <x v="0"/>
    <x v="1"/>
  </r>
  <r>
    <x v="0"/>
    <x v="1"/>
    <x v="0"/>
    <x v="0"/>
    <x v="1"/>
  </r>
  <r>
    <x v="0"/>
    <x v="1"/>
    <x v="0"/>
    <x v="1"/>
    <x v="0"/>
  </r>
  <r>
    <x v="0"/>
    <x v="1"/>
    <x v="0"/>
    <x v="1"/>
    <x v="0"/>
  </r>
  <r>
    <x v="0"/>
    <x v="1"/>
    <x v="1"/>
    <x v="0"/>
    <x v="1"/>
  </r>
  <r>
    <x v="0"/>
    <x v="1"/>
    <x v="1"/>
    <x v="0"/>
    <x v="1"/>
  </r>
  <r>
    <x v="0"/>
    <x v="1"/>
    <x v="1"/>
    <x v="1"/>
    <x v="1"/>
  </r>
  <r>
    <x v="0"/>
    <x v="1"/>
    <x v="1"/>
    <x v="1"/>
    <x v="1"/>
  </r>
  <r>
    <x v="1"/>
    <x v="0"/>
    <x v="0"/>
    <x v="0"/>
    <x v="1"/>
  </r>
  <r>
    <x v="1"/>
    <x v="0"/>
    <x v="0"/>
    <x v="0"/>
    <x v="1"/>
  </r>
  <r>
    <x v="1"/>
    <x v="0"/>
    <x v="0"/>
    <x v="1"/>
    <x v="0"/>
  </r>
  <r>
    <x v="1"/>
    <x v="0"/>
    <x v="0"/>
    <x v="1"/>
    <x v="1"/>
  </r>
  <r>
    <x v="1"/>
    <x v="0"/>
    <x v="1"/>
    <x v="0"/>
    <x v="1"/>
  </r>
  <r>
    <x v="1"/>
    <x v="0"/>
    <x v="1"/>
    <x v="0"/>
    <x v="1"/>
  </r>
  <r>
    <x v="1"/>
    <x v="0"/>
    <x v="1"/>
    <x v="1"/>
    <x v="1"/>
  </r>
  <r>
    <x v="1"/>
    <x v="0"/>
    <x v="1"/>
    <x v="1"/>
    <x v="1"/>
  </r>
  <r>
    <x v="1"/>
    <x v="1"/>
    <x v="0"/>
    <x v="0"/>
    <x v="0"/>
  </r>
  <r>
    <x v="1"/>
    <x v="1"/>
    <x v="0"/>
    <x v="0"/>
    <x v="1"/>
  </r>
  <r>
    <x v="1"/>
    <x v="1"/>
    <x v="0"/>
    <x v="1"/>
    <x v="1"/>
  </r>
  <r>
    <x v="1"/>
    <x v="1"/>
    <x v="0"/>
    <x v="1"/>
    <x v="1"/>
  </r>
  <r>
    <x v="1"/>
    <x v="1"/>
    <x v="1"/>
    <x v="0"/>
    <x v="1"/>
  </r>
  <r>
    <x v="1"/>
    <x v="1"/>
    <x v="1"/>
    <x v="0"/>
    <x v="1"/>
  </r>
  <r>
    <x v="1"/>
    <x v="1"/>
    <x v="1"/>
    <x v="1"/>
    <x v="1"/>
  </r>
  <r>
    <x v="1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BF7D7-62C9-8B44-BF25-81E112555B82}" name="PivotTable27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9:D22" firstHeaderRow="1" firstDataRow="2" firstDataCol="1"/>
  <pivotFields count="5">
    <pivotField dataField="1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2">
    <i>
      <x/>
    </i>
    <i>
      <x v="1"/>
    </i>
  </rowItems>
  <colFields count="1">
    <field x="4"/>
  </colFields>
  <colItems count="2">
    <i>
      <x/>
    </i>
    <i>
      <x v="1"/>
    </i>
  </colItems>
  <dataFields count="1">
    <dataField name="Count of Stud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E00B4-CC22-E14B-A5BE-28B45A9B49B6}" name="PivotTable2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0:D13" firstHeaderRow="1" firstDataRow="2" firstDataCol="1"/>
  <pivotFields count="5">
    <pivotField dataField="1" showAll="0">
      <items count="3"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2">
    <i>
      <x/>
    </i>
    <i>
      <x v="1"/>
    </i>
  </rowItems>
  <colFields count="1">
    <field x="4"/>
  </colFields>
  <colItems count="2">
    <i>
      <x/>
    </i>
    <i>
      <x v="1"/>
    </i>
  </colItems>
  <dataFields count="1">
    <dataField name="Count of Stud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E4151-A9B9-D141-8E54-B97FE82BA2AA}" name="PivotTable2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3:D6" firstHeaderRow="1" firstDataRow="2" firstDataCol="1"/>
  <pivotFields count="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2">
    <i>
      <x/>
    </i>
    <i>
      <x v="1"/>
    </i>
  </rowItems>
  <colFields count="1">
    <field x="4"/>
  </colFields>
  <colItems count="2">
    <i>
      <x/>
    </i>
    <i>
      <x v="1"/>
    </i>
  </colItems>
  <dataFields count="1">
    <dataField name="Count of Stud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981582-8B5A-C048-9B00-DAC840E29BFB}" name="PivotTable28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27:D30" firstHeaderRow="1" firstDataRow="2" firstDataCol="1"/>
  <pivotFields count="5">
    <pivotField dataField="1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3"/>
  </rowFields>
  <rowItems count="2">
    <i>
      <x/>
    </i>
    <i>
      <x v="1"/>
    </i>
  </rowItems>
  <colFields count="1">
    <field x="4"/>
  </colFields>
  <colItems count="2">
    <i>
      <x/>
    </i>
    <i>
      <x v="1"/>
    </i>
  </colItems>
  <dataFields count="1">
    <dataField name="Count of Stud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86D69-4B1C-4F4D-89CC-384236D0D143}" name="PivotTable3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27:D30" firstHeaderRow="1" firstDataRow="2" firstDataCol="1" rowPageCount="1" colPageCount="1"/>
  <pivotFields count="5">
    <pivotField axis="axisPage" dataField="1" multipleItemSelectionAllowed="1" showAll="0">
      <items count="3">
        <item h="1"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3"/>
  </rowFields>
  <rowItems count="2">
    <i>
      <x/>
    </i>
    <i>
      <x v="1"/>
    </i>
  </rowItems>
  <colFields count="1">
    <field x="4"/>
  </colFields>
  <colItems count="2">
    <i>
      <x/>
    </i>
    <i>
      <x v="1"/>
    </i>
  </colItems>
  <pageFields count="1">
    <pageField fld="0" hier="-1"/>
  </pageFields>
  <dataFields count="1">
    <dataField name="Count of Stud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D0837-8706-DD44-AAF6-1B33ADB90135}" name="PivotTable30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6:D19" firstHeaderRow="1" firstDataRow="2" firstDataCol="1" rowPageCount="1" colPageCount="1"/>
  <pivotFields count="5">
    <pivotField axis="axisPage" dataField="1" multipleItemSelectionAllowed="1"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2">
    <i>
      <x/>
    </i>
    <i>
      <x v="1"/>
    </i>
  </rowItems>
  <colFields count="1">
    <field x="4"/>
  </colFields>
  <colItems count="2">
    <i>
      <x/>
    </i>
    <i>
      <x v="1"/>
    </i>
  </colItems>
  <pageFields count="1">
    <pageField fld="0" hier="-1"/>
  </pageFields>
  <dataFields count="1">
    <dataField name="Count of Stud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B67CE-1280-554E-A870-4178F8DC7A26}" name="PivotTable29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5:D8" firstHeaderRow="1" firstDataRow="2" firstDataCol="1" rowPageCount="1" colPageCount="1"/>
  <pivotFields count="5">
    <pivotField axis="axisPage" dataField="1" multipleItemSelectionAllowed="1" showAll="0">
      <items count="3">
        <item h="1"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2">
    <i>
      <x/>
    </i>
    <i>
      <x v="1"/>
    </i>
  </rowItems>
  <colFields count="1">
    <field x="4"/>
  </colFields>
  <colItems count="2">
    <i>
      <x/>
    </i>
    <i>
      <x v="1"/>
    </i>
  </colItems>
  <pageFields count="1">
    <pageField fld="0" hier="-1"/>
  </pageFields>
  <dataFields count="1">
    <dataField name="Count of Study" fld="0" subtotal="count" baseField="0" baseItem="0"/>
  </dataFields>
  <formats count="2"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16A5B-18E0-0141-881B-A492E880B951}" name="PivotTable3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37:D40" firstHeaderRow="1" firstDataRow="2" firstDataCol="1" rowPageCount="1" colPageCount="1"/>
  <pivotFields count="5">
    <pivotField axis="axisPage" dataField="1" multipleItemSelectionAllowed="1" showAll="0">
      <items count="3">
        <item x="0"/>
        <item h="1"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2">
    <i>
      <x/>
    </i>
    <i>
      <x v="1"/>
    </i>
  </rowItems>
  <colFields count="1">
    <field x="4"/>
  </colFields>
  <colItems count="2">
    <i>
      <x/>
    </i>
    <i>
      <x v="1"/>
    </i>
  </colItems>
  <pageFields count="1">
    <pageField fld="0" hier="-1"/>
  </pageFields>
  <dataFields count="1">
    <dataField name="Count of Stud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EBC2-D248-6441-912B-C18C9993CC35}" name="PivotTable3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8:D51" firstHeaderRow="1" firstDataRow="2" firstDataCol="1" rowPageCount="1" colPageCount="1"/>
  <pivotFields count="5">
    <pivotField axis="axisPage" dataField="1" multipleItemSelectionAllowed="1"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2">
    <i>
      <x/>
    </i>
    <i>
      <x v="1"/>
    </i>
  </rowItems>
  <colFields count="1">
    <field x="4"/>
  </colFields>
  <colItems count="2">
    <i>
      <x/>
    </i>
    <i>
      <x v="1"/>
    </i>
  </colItems>
  <pageFields count="1">
    <pageField fld="0" hier="-1"/>
  </pageFields>
  <dataFields count="1">
    <dataField name="Count of Stud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CE4F4-6FF3-A44A-83AA-0D4A23628FC2}" name="PivotTable3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59:D62" firstHeaderRow="1" firstDataRow="2" firstDataCol="1" rowPageCount="1" colPageCount="1"/>
  <pivotFields count="5">
    <pivotField axis="axisPage" dataField="1" multipleItemSelectionAllowed="1" showAll="0">
      <items count="3">
        <item x="0"/>
        <item h="1"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3"/>
  </rowFields>
  <rowItems count="2">
    <i>
      <x/>
    </i>
    <i>
      <x v="1"/>
    </i>
  </rowItems>
  <colFields count="1">
    <field x="4"/>
  </colFields>
  <colItems count="2">
    <i>
      <x/>
    </i>
    <i>
      <x v="1"/>
    </i>
  </colItems>
  <pageFields count="1">
    <pageField fld="0" hier="-1"/>
  </pageFields>
  <dataFields count="1">
    <dataField name="Count of Stud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C26E0-C4BD-014D-B391-63293BABA599}" name="PivotTable37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40:E43" firstHeaderRow="1" firstDataRow="2" firstDataCol="1" rowPageCount="2" colPageCount="1"/>
  <pivotFields count="5">
    <pivotField axis="axisPage" dataField="1" multipleItemSelectionAllowed="1" showAll="0">
      <items count="3">
        <item h="1"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multipleItemSelectionAllowed="1"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3"/>
  </rowFields>
  <rowItems count="2">
    <i>
      <x/>
    </i>
    <i>
      <x v="1"/>
    </i>
  </rowItems>
  <colFields count="1">
    <field x="4"/>
  </colFields>
  <colItems count="2">
    <i>
      <x/>
    </i>
    <i>
      <x v="1"/>
    </i>
  </colItems>
  <pageFields count="2">
    <pageField fld="0" hier="-1"/>
    <pageField fld="1" hier="-1"/>
  </pageFields>
  <dataFields count="1">
    <dataField name="Count of Study" fld="0" subtotal="count" baseField="0" baseItem="0"/>
  </dataFields>
  <formats count="1">
    <format dxfId="2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269DB-6FE9-2F42-A651-55929842C5F7}" name="PivotTable36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15:E18" firstHeaderRow="1" firstDataRow="2" firstDataCol="1" rowPageCount="2" colPageCount="1"/>
  <pivotFields count="5">
    <pivotField axis="axisPage" dataField="1" multipleItemSelectionAllowed="1" showAll="0">
      <items count="3">
        <item h="1" x="0"/>
        <item x="1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3"/>
  </rowFields>
  <rowItems count="2">
    <i>
      <x/>
    </i>
    <i>
      <x v="1"/>
    </i>
  </rowItems>
  <colFields count="1">
    <field x="4"/>
  </colFields>
  <colItems count="2">
    <i>
      <x/>
    </i>
    <i>
      <x v="1"/>
    </i>
  </colItems>
  <pageFields count="2">
    <pageField fld="0" hier="-1"/>
    <pageField fld="2" hier="-1"/>
  </pageFields>
  <dataFields count="1">
    <dataField name="Count of Study" fld="0" subtotal="count" baseField="0" baseItem="0"/>
  </dataFields>
  <formats count="1">
    <format dxfId="3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FEEEA-2F31-0F4E-9B26-3567F7AE9961}" name="PivotTable3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5:E8" firstHeaderRow="1" firstDataRow="2" firstDataCol="1" rowPageCount="2" colPageCount="1"/>
  <pivotFields count="5">
    <pivotField axis="axisPage" dataField="1" multipleItemSelectionAllowed="1"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2">
    <i>
      <x/>
    </i>
    <i>
      <x v="1"/>
    </i>
  </rowItems>
  <colFields count="1">
    <field x="4"/>
  </colFields>
  <colItems count="2">
    <i>
      <x/>
    </i>
    <i>
      <x v="1"/>
    </i>
  </colItems>
  <pageFields count="2">
    <pageField fld="0" hier="-1"/>
    <pageField fld="2" hier="-1"/>
  </pageFields>
  <dataFields count="1">
    <dataField name="Count of Study" fld="0" subtotal="count" baseField="0" baseItem="0"/>
  </dataFields>
  <formats count="1">
    <format dxfId="4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C775D-0A96-624C-8EEC-B7FF2D8FA842}" name="PivotTable38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30:E32" firstHeaderRow="1" firstDataRow="2" firstDataCol="1" rowPageCount="2" colPageCount="1"/>
  <pivotFields count="5">
    <pivotField axis="axisPage" dataField="1" multipleItemSelectionAllowed="1" showAll="0">
      <items count="3">
        <item x="0"/>
        <item h="1"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multipleItemSelectionAllowed="1" showAll="0">
      <items count="3">
        <item x="0"/>
        <item h="1" x="1"/>
        <item t="default"/>
      </items>
    </pivotField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1">
    <i>
      <x/>
    </i>
  </rowItems>
  <colFields count="1">
    <field x="4"/>
  </colFields>
  <colItems count="2">
    <i>
      <x/>
    </i>
    <i>
      <x v="1"/>
    </i>
  </colItems>
  <pageFields count="2">
    <pageField fld="0" hier="-1"/>
    <pageField fld="1" hier="-1"/>
  </pageFields>
  <dataFields count="1">
    <dataField name="Count of Study" fld="0" subtotal="count" baseField="0" baseItem="0"/>
  </dataFields>
  <formats count="1">
    <format dxfId="5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125" workbookViewId="0">
      <selection activeCell="F12" sqref="F12"/>
    </sheetView>
  </sheetViews>
  <sheetFormatPr baseColWidth="10" defaultColWidth="8.83203125" defaultRowHeight="15" x14ac:dyDescent="0.2"/>
  <cols>
    <col min="1" max="1" width="13.83203125" customWidth="1"/>
    <col min="2" max="2" width="16.5" customWidth="1"/>
    <col min="3" max="3" width="16" customWidth="1"/>
    <col min="5" max="5" width="17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x14ac:dyDescent="0.2">
      <c r="A3" t="s">
        <v>5</v>
      </c>
      <c r="B3" t="s">
        <v>5</v>
      </c>
      <c r="C3" t="s">
        <v>5</v>
      </c>
      <c r="D3" t="s">
        <v>5</v>
      </c>
      <c r="E3" t="s">
        <v>5</v>
      </c>
    </row>
    <row r="4" spans="1:5" x14ac:dyDescent="0.2">
      <c r="A4" t="s">
        <v>5</v>
      </c>
      <c r="B4" t="s">
        <v>5</v>
      </c>
      <c r="C4" t="s">
        <v>5</v>
      </c>
      <c r="D4" t="s">
        <v>6</v>
      </c>
      <c r="E4" t="s">
        <v>5</v>
      </c>
    </row>
    <row r="5" spans="1:5" x14ac:dyDescent="0.2">
      <c r="A5" t="s">
        <v>5</v>
      </c>
      <c r="B5" t="s">
        <v>5</v>
      </c>
      <c r="C5" t="s">
        <v>5</v>
      </c>
      <c r="D5" t="s">
        <v>6</v>
      </c>
      <c r="E5" t="s">
        <v>5</v>
      </c>
    </row>
    <row r="6" spans="1:5" x14ac:dyDescent="0.2">
      <c r="A6" t="s">
        <v>5</v>
      </c>
      <c r="B6" t="s">
        <v>5</v>
      </c>
      <c r="C6" t="s">
        <v>6</v>
      </c>
      <c r="D6" t="s">
        <v>5</v>
      </c>
      <c r="E6" t="s">
        <v>5</v>
      </c>
    </row>
    <row r="7" spans="1:5" x14ac:dyDescent="0.2">
      <c r="A7" t="s">
        <v>5</v>
      </c>
      <c r="B7" t="s">
        <v>5</v>
      </c>
      <c r="C7" t="s">
        <v>6</v>
      </c>
      <c r="D7" t="s">
        <v>5</v>
      </c>
      <c r="E7" t="s">
        <v>5</v>
      </c>
    </row>
    <row r="8" spans="1:5" x14ac:dyDescent="0.2">
      <c r="A8" t="s">
        <v>5</v>
      </c>
      <c r="B8" t="s">
        <v>5</v>
      </c>
      <c r="C8" t="s">
        <v>6</v>
      </c>
      <c r="D8" t="s">
        <v>6</v>
      </c>
      <c r="E8" t="s">
        <v>5</v>
      </c>
    </row>
    <row r="9" spans="1:5" x14ac:dyDescent="0.2">
      <c r="A9" t="s">
        <v>5</v>
      </c>
      <c r="B9" t="s">
        <v>5</v>
      </c>
      <c r="C9" t="s">
        <v>6</v>
      </c>
      <c r="D9" t="s">
        <v>6</v>
      </c>
      <c r="E9" t="s">
        <v>5</v>
      </c>
    </row>
    <row r="10" spans="1:5" x14ac:dyDescent="0.2">
      <c r="A10" t="s">
        <v>5</v>
      </c>
      <c r="B10" t="s">
        <v>6</v>
      </c>
      <c r="C10" t="s">
        <v>5</v>
      </c>
      <c r="D10" t="s">
        <v>5</v>
      </c>
      <c r="E10" t="s">
        <v>6</v>
      </c>
    </row>
    <row r="11" spans="1:5" x14ac:dyDescent="0.2">
      <c r="A11" t="s">
        <v>5</v>
      </c>
      <c r="B11" t="s">
        <v>6</v>
      </c>
      <c r="C11" t="s">
        <v>5</v>
      </c>
      <c r="D11" t="s">
        <v>5</v>
      </c>
      <c r="E11" t="s">
        <v>6</v>
      </c>
    </row>
    <row r="12" spans="1:5" x14ac:dyDescent="0.2">
      <c r="A12" t="s">
        <v>5</v>
      </c>
      <c r="B12" t="s">
        <v>6</v>
      </c>
      <c r="C12" t="s">
        <v>5</v>
      </c>
      <c r="D12" t="s">
        <v>6</v>
      </c>
      <c r="E12" t="s">
        <v>5</v>
      </c>
    </row>
    <row r="13" spans="1:5" x14ac:dyDescent="0.2">
      <c r="A13" t="s">
        <v>5</v>
      </c>
      <c r="B13" t="s">
        <v>6</v>
      </c>
      <c r="C13" t="s">
        <v>5</v>
      </c>
      <c r="D13" t="s">
        <v>6</v>
      </c>
      <c r="E13" t="s">
        <v>5</v>
      </c>
    </row>
    <row r="14" spans="1:5" x14ac:dyDescent="0.2">
      <c r="A14" t="s">
        <v>5</v>
      </c>
      <c r="B14" t="s">
        <v>6</v>
      </c>
      <c r="C14" t="s">
        <v>6</v>
      </c>
      <c r="D14" t="s">
        <v>5</v>
      </c>
      <c r="E14" t="s">
        <v>6</v>
      </c>
    </row>
    <row r="15" spans="1:5" x14ac:dyDescent="0.2">
      <c r="A15" t="s">
        <v>5</v>
      </c>
      <c r="B15" t="s">
        <v>6</v>
      </c>
      <c r="C15" t="s">
        <v>6</v>
      </c>
      <c r="D15" t="s">
        <v>5</v>
      </c>
      <c r="E15" t="s">
        <v>6</v>
      </c>
    </row>
    <row r="16" spans="1:5" x14ac:dyDescent="0.2">
      <c r="A16" t="s">
        <v>5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">
      <c r="A17" t="s">
        <v>5</v>
      </c>
      <c r="B17" t="s">
        <v>6</v>
      </c>
      <c r="C17" t="s">
        <v>6</v>
      </c>
      <c r="D17" t="s">
        <v>6</v>
      </c>
      <c r="E17" t="s">
        <v>6</v>
      </c>
    </row>
    <row r="18" spans="1:5" x14ac:dyDescent="0.2">
      <c r="A18" t="s">
        <v>6</v>
      </c>
      <c r="B18" t="s">
        <v>5</v>
      </c>
      <c r="C18" t="s">
        <v>5</v>
      </c>
      <c r="D18" t="s">
        <v>5</v>
      </c>
      <c r="E18" t="s">
        <v>6</v>
      </c>
    </row>
    <row r="19" spans="1:5" x14ac:dyDescent="0.2">
      <c r="A19" t="s">
        <v>6</v>
      </c>
      <c r="B19" t="s">
        <v>5</v>
      </c>
      <c r="C19" t="s">
        <v>5</v>
      </c>
      <c r="D19" t="s">
        <v>5</v>
      </c>
      <c r="E19" t="s">
        <v>6</v>
      </c>
    </row>
    <row r="20" spans="1:5" x14ac:dyDescent="0.2">
      <c r="A20" t="s">
        <v>6</v>
      </c>
      <c r="B20" t="s">
        <v>5</v>
      </c>
      <c r="C20" t="s">
        <v>5</v>
      </c>
      <c r="D20" t="s">
        <v>6</v>
      </c>
      <c r="E20" t="s">
        <v>5</v>
      </c>
    </row>
    <row r="21" spans="1:5" x14ac:dyDescent="0.2">
      <c r="A21" t="s">
        <v>6</v>
      </c>
      <c r="B21" t="s">
        <v>5</v>
      </c>
      <c r="C21" t="s">
        <v>5</v>
      </c>
      <c r="D21" t="s">
        <v>6</v>
      </c>
      <c r="E21" t="s">
        <v>6</v>
      </c>
    </row>
    <row r="22" spans="1:5" x14ac:dyDescent="0.2">
      <c r="A22" t="s">
        <v>6</v>
      </c>
      <c r="B22" t="s">
        <v>5</v>
      </c>
      <c r="C22" t="s">
        <v>6</v>
      </c>
      <c r="D22" t="s">
        <v>5</v>
      </c>
      <c r="E22" t="s">
        <v>6</v>
      </c>
    </row>
    <row r="23" spans="1:5" x14ac:dyDescent="0.2">
      <c r="A23" t="s">
        <v>6</v>
      </c>
      <c r="B23" t="s">
        <v>5</v>
      </c>
      <c r="C23" t="s">
        <v>6</v>
      </c>
      <c r="D23" t="s">
        <v>5</v>
      </c>
      <c r="E23" t="s">
        <v>6</v>
      </c>
    </row>
    <row r="24" spans="1:5" x14ac:dyDescent="0.2">
      <c r="A24" t="s">
        <v>6</v>
      </c>
      <c r="B24" t="s">
        <v>5</v>
      </c>
      <c r="C24" t="s">
        <v>6</v>
      </c>
      <c r="D24" t="s">
        <v>6</v>
      </c>
      <c r="E24" t="s">
        <v>6</v>
      </c>
    </row>
    <row r="25" spans="1:5" x14ac:dyDescent="0.2">
      <c r="A25" t="s">
        <v>6</v>
      </c>
      <c r="B25" t="s">
        <v>5</v>
      </c>
      <c r="C25" t="s">
        <v>6</v>
      </c>
      <c r="D25" t="s">
        <v>6</v>
      </c>
      <c r="E25" t="s">
        <v>6</v>
      </c>
    </row>
    <row r="26" spans="1:5" x14ac:dyDescent="0.2">
      <c r="A26" t="s">
        <v>6</v>
      </c>
      <c r="B26" t="s">
        <v>6</v>
      </c>
      <c r="C26" t="s">
        <v>5</v>
      </c>
      <c r="D26" t="s">
        <v>5</v>
      </c>
      <c r="E26" t="s">
        <v>5</v>
      </c>
    </row>
    <row r="27" spans="1:5" x14ac:dyDescent="0.2">
      <c r="A27" t="s">
        <v>6</v>
      </c>
      <c r="B27" t="s">
        <v>6</v>
      </c>
      <c r="C27" t="s">
        <v>5</v>
      </c>
      <c r="D27" t="s">
        <v>5</v>
      </c>
      <c r="E27" t="s">
        <v>6</v>
      </c>
    </row>
    <row r="28" spans="1:5" x14ac:dyDescent="0.2">
      <c r="A28" t="s">
        <v>6</v>
      </c>
      <c r="B28" t="s">
        <v>6</v>
      </c>
      <c r="C28" t="s">
        <v>5</v>
      </c>
      <c r="D28" t="s">
        <v>6</v>
      </c>
      <c r="E28" t="s">
        <v>6</v>
      </c>
    </row>
    <row r="29" spans="1:5" x14ac:dyDescent="0.2">
      <c r="A29" t="s">
        <v>6</v>
      </c>
      <c r="B29" t="s">
        <v>6</v>
      </c>
      <c r="C29" t="s">
        <v>5</v>
      </c>
      <c r="D29" t="s">
        <v>6</v>
      </c>
      <c r="E29" t="s">
        <v>6</v>
      </c>
    </row>
    <row r="30" spans="1:5" x14ac:dyDescent="0.2">
      <c r="A30" t="s">
        <v>6</v>
      </c>
      <c r="B30" t="s">
        <v>6</v>
      </c>
      <c r="C30" t="s">
        <v>6</v>
      </c>
      <c r="D30" t="s">
        <v>5</v>
      </c>
      <c r="E30" t="s">
        <v>6</v>
      </c>
    </row>
    <row r="31" spans="1:5" x14ac:dyDescent="0.2">
      <c r="A31" t="s">
        <v>6</v>
      </c>
      <c r="B31" t="s">
        <v>6</v>
      </c>
      <c r="C31" t="s">
        <v>6</v>
      </c>
      <c r="D31" t="s">
        <v>5</v>
      </c>
      <c r="E31" t="s">
        <v>6</v>
      </c>
    </row>
    <row r="32" spans="1:5" x14ac:dyDescent="0.2">
      <c r="A32" t="s">
        <v>6</v>
      </c>
      <c r="B32" t="s">
        <v>6</v>
      </c>
      <c r="C32" t="s">
        <v>6</v>
      </c>
      <c r="D32" t="s">
        <v>6</v>
      </c>
      <c r="E32" t="s">
        <v>6</v>
      </c>
    </row>
    <row r="33" spans="1:5" x14ac:dyDescent="0.2">
      <c r="A33" t="s">
        <v>6</v>
      </c>
      <c r="B33" t="s">
        <v>6</v>
      </c>
      <c r="C33" t="s">
        <v>6</v>
      </c>
      <c r="D33" t="s">
        <v>6</v>
      </c>
      <c r="E3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5F1E-836F-E94D-9766-5D14BD9C852A}">
  <dimension ref="A2:J30"/>
  <sheetViews>
    <sheetView workbookViewId="0">
      <selection activeCell="J5" sqref="J5:J6"/>
    </sheetView>
  </sheetViews>
  <sheetFormatPr baseColWidth="10" defaultRowHeight="15" x14ac:dyDescent="0.2"/>
  <cols>
    <col min="2" max="2" width="12.33203125" bestFit="1" customWidth="1"/>
    <col min="3" max="3" width="14.83203125" bestFit="1" customWidth="1"/>
    <col min="4" max="4" width="3.83203125" bestFit="1" customWidth="1"/>
    <col min="5" max="5" width="30.33203125" customWidth="1"/>
    <col min="6" max="6" width="18.33203125" customWidth="1"/>
    <col min="7" max="7" width="15.6640625" customWidth="1"/>
    <col min="8" max="8" width="21.83203125" customWidth="1"/>
    <col min="9" max="9" width="18.6640625" customWidth="1"/>
    <col min="10" max="10" width="19.5" customWidth="1"/>
  </cols>
  <sheetData>
    <row r="2" spans="1:10" x14ac:dyDescent="0.2">
      <c r="C2" s="7" t="s">
        <v>4</v>
      </c>
      <c r="D2" s="7"/>
    </row>
    <row r="3" spans="1:10" x14ac:dyDescent="0.2">
      <c r="B3" s="2" t="s">
        <v>9</v>
      </c>
      <c r="C3" s="2" t="s">
        <v>8</v>
      </c>
    </row>
    <row r="4" spans="1:10" x14ac:dyDescent="0.2">
      <c r="B4" s="2" t="s">
        <v>7</v>
      </c>
      <c r="C4" t="s">
        <v>5</v>
      </c>
      <c r="D4" t="s">
        <v>6</v>
      </c>
      <c r="E4" s="4" t="s">
        <v>11</v>
      </c>
      <c r="F4" t="s">
        <v>12</v>
      </c>
      <c r="G4" t="s">
        <v>13</v>
      </c>
      <c r="H4" t="s">
        <v>14</v>
      </c>
      <c r="I4" t="s">
        <v>10</v>
      </c>
      <c r="J4" t="s">
        <v>15</v>
      </c>
    </row>
    <row r="5" spans="1:10" x14ac:dyDescent="0.2">
      <c r="A5" s="7" t="s">
        <v>0</v>
      </c>
      <c r="B5" s="3" t="s">
        <v>5</v>
      </c>
      <c r="C5">
        <v>10</v>
      </c>
      <c r="D5">
        <v>6</v>
      </c>
      <c r="E5">
        <f>(D5)/(D5+C5)</f>
        <v>0.375</v>
      </c>
      <c r="F5">
        <f>(C5)/(C5+D5)</f>
        <v>0.625</v>
      </c>
      <c r="G5">
        <f>-LOG(E5,2)</f>
        <v>1.4150374992788437</v>
      </c>
      <c r="H5">
        <f>-LOG(F5,2)</f>
        <v>0.67807190511263771</v>
      </c>
      <c r="I5">
        <f>E5*G5+F5*H5</f>
        <v>0.95443400292496494</v>
      </c>
      <c r="J5" s="10">
        <f>(I5*(C5+D5)+I6*(C6+D6))/(C5+D5+C6+D6)</f>
        <v>0.74899922306228062</v>
      </c>
    </row>
    <row r="6" spans="1:10" x14ac:dyDescent="0.2">
      <c r="A6" s="7"/>
      <c r="B6" s="3" t="s">
        <v>6</v>
      </c>
      <c r="C6">
        <v>2</v>
      </c>
      <c r="D6">
        <v>14</v>
      </c>
      <c r="E6">
        <f>D6/(D6+C6)</f>
        <v>0.875</v>
      </c>
      <c r="F6">
        <f>(C6)/(C6+D6)</f>
        <v>0.125</v>
      </c>
      <c r="G6">
        <f>-LOG(E6,2)</f>
        <v>0.19264507794239591</v>
      </c>
      <c r="H6">
        <f>-LOG(F6,2)</f>
        <v>3</v>
      </c>
      <c r="I6">
        <f>E6*G6+F6*H6</f>
        <v>0.5435644431995964</v>
      </c>
      <c r="J6" s="10"/>
    </row>
    <row r="9" spans="1:10" x14ac:dyDescent="0.2">
      <c r="C9" s="7" t="s">
        <v>4</v>
      </c>
      <c r="D9" s="7"/>
    </row>
    <row r="10" spans="1:10" x14ac:dyDescent="0.2">
      <c r="B10" s="2" t="s">
        <v>9</v>
      </c>
      <c r="C10" s="2" t="s">
        <v>8</v>
      </c>
    </row>
    <row r="11" spans="1:10" x14ac:dyDescent="0.2">
      <c r="B11" s="2" t="s">
        <v>7</v>
      </c>
      <c r="C11" t="s">
        <v>5</v>
      </c>
      <c r="D11" t="s">
        <v>6</v>
      </c>
      <c r="E11" s="4" t="s">
        <v>11</v>
      </c>
      <c r="F11" t="s">
        <v>12</v>
      </c>
      <c r="G11" t="s">
        <v>13</v>
      </c>
      <c r="H11" t="s">
        <v>14</v>
      </c>
      <c r="I11" t="s">
        <v>10</v>
      </c>
      <c r="J11" t="s">
        <v>16</v>
      </c>
    </row>
    <row r="12" spans="1:10" x14ac:dyDescent="0.2">
      <c r="A12" s="7" t="s">
        <v>2</v>
      </c>
      <c r="B12" s="3" t="s">
        <v>5</v>
      </c>
      <c r="C12">
        <v>8</v>
      </c>
      <c r="D12">
        <v>8</v>
      </c>
      <c r="E12">
        <f>(D12)/(D12+C12)</f>
        <v>0.5</v>
      </c>
      <c r="F12">
        <f>(C12)/(C12+D12)</f>
        <v>0.5</v>
      </c>
      <c r="G12">
        <f>-LOG(E12,2)</f>
        <v>1</v>
      </c>
      <c r="H12">
        <f>-LOG(F12,2)</f>
        <v>1</v>
      </c>
      <c r="I12">
        <f>E12*G12+F12*H12</f>
        <v>1</v>
      </c>
      <c r="J12" s="9">
        <f>(I12*(C12+D12)+I13*(C13+D13))/(C12+D12+C13+D13)</f>
        <v>0.90563906222956647</v>
      </c>
    </row>
    <row r="13" spans="1:10" x14ac:dyDescent="0.2">
      <c r="A13" s="7"/>
      <c r="B13" s="3" t="s">
        <v>6</v>
      </c>
      <c r="C13">
        <v>4</v>
      </c>
      <c r="D13">
        <v>12</v>
      </c>
      <c r="E13">
        <f>D13/(D13+C13)</f>
        <v>0.75</v>
      </c>
      <c r="F13">
        <f>(C13)/(C13+D13)</f>
        <v>0.25</v>
      </c>
      <c r="G13">
        <f>-LOG(E13,2)</f>
        <v>0.41503749927884381</v>
      </c>
      <c r="H13">
        <f>-LOG(F13,2)</f>
        <v>2</v>
      </c>
      <c r="I13">
        <f>E13*G13+F13*H13</f>
        <v>0.81127812445913283</v>
      </c>
      <c r="J13" s="9"/>
    </row>
    <row r="18" spans="1:10" x14ac:dyDescent="0.2">
      <c r="C18" s="7" t="s">
        <v>4</v>
      </c>
      <c r="D18" s="7"/>
    </row>
    <row r="19" spans="1:10" x14ac:dyDescent="0.2">
      <c r="B19" s="2" t="s">
        <v>9</v>
      </c>
      <c r="C19" s="2" t="s">
        <v>8</v>
      </c>
    </row>
    <row r="20" spans="1:10" x14ac:dyDescent="0.2">
      <c r="B20" s="2" t="s">
        <v>7</v>
      </c>
      <c r="C20" t="s">
        <v>5</v>
      </c>
      <c r="D20" t="s">
        <v>6</v>
      </c>
      <c r="E20" s="4" t="s">
        <v>11</v>
      </c>
      <c r="F20" t="s">
        <v>12</v>
      </c>
      <c r="G20" t="s">
        <v>13</v>
      </c>
      <c r="H20" t="s">
        <v>14</v>
      </c>
      <c r="I20" t="s">
        <v>10</v>
      </c>
      <c r="J20" t="s">
        <v>17</v>
      </c>
    </row>
    <row r="21" spans="1:10" x14ac:dyDescent="0.2">
      <c r="A21" s="7" t="s">
        <v>1</v>
      </c>
      <c r="B21" s="3" t="s">
        <v>5</v>
      </c>
      <c r="C21">
        <v>9</v>
      </c>
      <c r="D21">
        <v>7</v>
      </c>
      <c r="E21">
        <f>(D21)/(D21+C21)</f>
        <v>0.4375</v>
      </c>
      <c r="F21">
        <f>(C21)/(C21+D21)</f>
        <v>0.5625</v>
      </c>
      <c r="G21">
        <f>-LOG(E21,2)</f>
        <v>1.1926450779423958</v>
      </c>
      <c r="H21">
        <f>-LOG(F21,2)</f>
        <v>0.83007499855768763</v>
      </c>
      <c r="I21">
        <f>E21*G21+F21*H21</f>
        <v>0.98869940828849745</v>
      </c>
      <c r="J21" s="9">
        <f>(I21*(C21+D21)+I22*(C22+D22))/(C21+D21+C22+D22)</f>
        <v>0.84245583420682157</v>
      </c>
    </row>
    <row r="22" spans="1:10" x14ac:dyDescent="0.2">
      <c r="A22" s="7"/>
      <c r="B22" s="3" t="s">
        <v>6</v>
      </c>
      <c r="C22">
        <v>3</v>
      </c>
      <c r="D22">
        <v>13</v>
      </c>
      <c r="E22">
        <f>D22/(D22+C22)</f>
        <v>0.8125</v>
      </c>
      <c r="F22">
        <f>(C22)/(C22+D22)</f>
        <v>0.1875</v>
      </c>
      <c r="G22">
        <f>-LOG(E22,2)</f>
        <v>0.29956028185890782</v>
      </c>
      <c r="H22">
        <f>-LOG(F22,2)</f>
        <v>2.4150374992788439</v>
      </c>
      <c r="I22">
        <f>E22*G22+F22*H22</f>
        <v>0.69621226012514581</v>
      </c>
      <c r="J22" s="9"/>
    </row>
    <row r="26" spans="1:10" x14ac:dyDescent="0.2">
      <c r="C26" s="7" t="s">
        <v>4</v>
      </c>
      <c r="D26" s="7"/>
    </row>
    <row r="27" spans="1:10" x14ac:dyDescent="0.2">
      <c r="B27" s="2" t="s">
        <v>9</v>
      </c>
      <c r="C27" s="2" t="s">
        <v>8</v>
      </c>
    </row>
    <row r="28" spans="1:10" x14ac:dyDescent="0.2">
      <c r="B28" s="2" t="s">
        <v>7</v>
      </c>
      <c r="C28" t="s">
        <v>5</v>
      </c>
      <c r="D28" t="s">
        <v>6</v>
      </c>
      <c r="E28" s="4" t="s">
        <v>11</v>
      </c>
      <c r="F28" t="s">
        <v>12</v>
      </c>
      <c r="G28" t="s">
        <v>13</v>
      </c>
      <c r="H28" t="s">
        <v>14</v>
      </c>
      <c r="I28" t="s">
        <v>10</v>
      </c>
      <c r="J28" t="s">
        <v>17</v>
      </c>
    </row>
    <row r="29" spans="1:10" x14ac:dyDescent="0.2">
      <c r="A29" s="7" t="s">
        <v>3</v>
      </c>
      <c r="B29" s="3" t="s">
        <v>5</v>
      </c>
      <c r="C29">
        <v>5</v>
      </c>
      <c r="D29">
        <v>11</v>
      </c>
      <c r="E29">
        <f>(D29)/(D29+C29)</f>
        <v>0.6875</v>
      </c>
      <c r="F29">
        <f>(C29)/(C29+D29)</f>
        <v>0.3125</v>
      </c>
      <c r="G29">
        <f>-LOG(E29,2)</f>
        <v>0.5405683813627028</v>
      </c>
      <c r="H29">
        <f>-LOG(F29,2)</f>
        <v>1.6780719051126378</v>
      </c>
      <c r="I29">
        <f>E29*G29+F29*H29</f>
        <v>0.8960382325345575</v>
      </c>
      <c r="J29" s="9">
        <f>(I29*(C29+D29)+I30*(C30+D30))/(C29+D29+C30+D30)</f>
        <v>0.94236882041152747</v>
      </c>
    </row>
    <row r="30" spans="1:10" x14ac:dyDescent="0.2">
      <c r="A30" s="7"/>
      <c r="B30" s="3" t="s">
        <v>6</v>
      </c>
      <c r="C30">
        <v>7</v>
      </c>
      <c r="D30">
        <v>9</v>
      </c>
      <c r="E30">
        <f>D30/(D30+C30)</f>
        <v>0.5625</v>
      </c>
      <c r="F30">
        <f>(C30)/(C30+D30)</f>
        <v>0.4375</v>
      </c>
      <c r="G30">
        <f>-LOG(E30,2)</f>
        <v>0.83007499855768763</v>
      </c>
      <c r="H30">
        <f>-LOG(F30,2)</f>
        <v>1.1926450779423958</v>
      </c>
      <c r="I30">
        <f>E30*G30+F30*H30</f>
        <v>0.98869940828849745</v>
      </c>
      <c r="J30" s="9"/>
    </row>
  </sheetData>
  <mergeCells count="12">
    <mergeCell ref="A5:A6"/>
    <mergeCell ref="C2:D2"/>
    <mergeCell ref="J5:J6"/>
    <mergeCell ref="C9:D9"/>
    <mergeCell ref="A12:A13"/>
    <mergeCell ref="J12:J13"/>
    <mergeCell ref="C18:D18"/>
    <mergeCell ref="A21:A22"/>
    <mergeCell ref="J21:J22"/>
    <mergeCell ref="C26:D26"/>
    <mergeCell ref="A29:A30"/>
    <mergeCell ref="J29:J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2D62-A634-5C43-A288-9FACED56221B}">
  <dimension ref="A3:J62"/>
  <sheetViews>
    <sheetView workbookViewId="0">
      <selection activeCell="A3" sqref="A3:J8"/>
    </sheetView>
  </sheetViews>
  <sheetFormatPr baseColWidth="10" defaultRowHeight="15" x14ac:dyDescent="0.2"/>
  <cols>
    <col min="2" max="2" width="12.33203125" bestFit="1" customWidth="1"/>
    <col min="3" max="3" width="14.83203125" bestFit="1" customWidth="1"/>
    <col min="4" max="4" width="10" customWidth="1"/>
    <col min="5" max="5" width="18.83203125" customWidth="1"/>
    <col min="8" max="8" width="15" customWidth="1"/>
    <col min="9" max="9" width="16.1640625" customWidth="1"/>
    <col min="10" max="10" width="20.1640625" customWidth="1"/>
  </cols>
  <sheetData>
    <row r="3" spans="1:10" x14ac:dyDescent="0.2">
      <c r="B3" s="2" t="s">
        <v>0</v>
      </c>
      <c r="C3" t="s">
        <v>6</v>
      </c>
    </row>
    <row r="4" spans="1:10" x14ac:dyDescent="0.2">
      <c r="C4" s="7" t="s">
        <v>4</v>
      </c>
      <c r="D4" s="7"/>
    </row>
    <row r="5" spans="1:10" x14ac:dyDescent="0.2">
      <c r="B5" s="2" t="s">
        <v>9</v>
      </c>
      <c r="C5" s="2" t="s">
        <v>8</v>
      </c>
    </row>
    <row r="6" spans="1:10" x14ac:dyDescent="0.2">
      <c r="B6" s="2" t="s">
        <v>7</v>
      </c>
      <c r="C6" s="6" t="s">
        <v>5</v>
      </c>
      <c r="D6" s="6" t="s">
        <v>6</v>
      </c>
      <c r="E6" s="4" t="s">
        <v>11</v>
      </c>
      <c r="F6" t="s">
        <v>12</v>
      </c>
      <c r="G6" t="s">
        <v>13</v>
      </c>
      <c r="H6" t="s">
        <v>14</v>
      </c>
      <c r="I6" t="s">
        <v>10</v>
      </c>
      <c r="J6" t="s">
        <v>16</v>
      </c>
    </row>
    <row r="7" spans="1:10" x14ac:dyDescent="0.2">
      <c r="A7" s="7" t="s">
        <v>2</v>
      </c>
      <c r="B7" s="5" t="s">
        <v>5</v>
      </c>
      <c r="C7">
        <v>2</v>
      </c>
      <c r="D7">
        <v>6</v>
      </c>
      <c r="E7">
        <f>(D7)/(D7+C7)</f>
        <v>0.75</v>
      </c>
      <c r="F7">
        <f>(C7)/(C7+D7)</f>
        <v>0.25</v>
      </c>
      <c r="G7">
        <f>-LOG(E7,2)</f>
        <v>0.41503749927884381</v>
      </c>
      <c r="H7">
        <f>-LOG(F7,2)</f>
        <v>2</v>
      </c>
      <c r="I7">
        <f>E7*G7+F7*H7</f>
        <v>0.81127812445913283</v>
      </c>
      <c r="J7" s="8">
        <f>(I7*(C7+D7)+I8*(C8+D8))/(C7+D7+C8+D8)</f>
        <v>0.40563906222956642</v>
      </c>
    </row>
    <row r="8" spans="1:10" x14ac:dyDescent="0.2">
      <c r="A8" s="7"/>
      <c r="B8" s="5" t="s">
        <v>6</v>
      </c>
      <c r="D8">
        <v>8</v>
      </c>
      <c r="E8">
        <f>D8/(D8+C8)</f>
        <v>1</v>
      </c>
      <c r="F8">
        <f>(C8)/(C8+D8)</f>
        <v>0</v>
      </c>
      <c r="G8">
        <f>-LOG(E8,2)</f>
        <v>0</v>
      </c>
      <c r="H8">
        <f>IFERROR(-LOG(F8,2),0)</f>
        <v>0</v>
      </c>
      <c r="I8">
        <f>E8*G8+F8*H8</f>
        <v>0</v>
      </c>
      <c r="J8" s="8"/>
    </row>
    <row r="14" spans="1:10" x14ac:dyDescent="0.2">
      <c r="B14" s="2" t="s">
        <v>0</v>
      </c>
      <c r="C14" t="s">
        <v>6</v>
      </c>
    </row>
    <row r="15" spans="1:10" x14ac:dyDescent="0.2">
      <c r="C15" s="7" t="s">
        <v>4</v>
      </c>
      <c r="D15" s="7"/>
    </row>
    <row r="16" spans="1:10" x14ac:dyDescent="0.2">
      <c r="B16" s="2" t="s">
        <v>9</v>
      </c>
      <c r="C16" s="2" t="s">
        <v>8</v>
      </c>
    </row>
    <row r="17" spans="1:10" x14ac:dyDescent="0.2">
      <c r="B17" s="2" t="s">
        <v>7</v>
      </c>
      <c r="C17" t="s">
        <v>5</v>
      </c>
      <c r="D17" t="s">
        <v>6</v>
      </c>
      <c r="E17" s="4" t="s">
        <v>11</v>
      </c>
      <c r="F17" t="s">
        <v>12</v>
      </c>
      <c r="G17" t="s">
        <v>13</v>
      </c>
      <c r="H17" t="s">
        <v>14</v>
      </c>
      <c r="I17" t="s">
        <v>10</v>
      </c>
      <c r="J17" t="s">
        <v>17</v>
      </c>
    </row>
    <row r="18" spans="1:10" x14ac:dyDescent="0.2">
      <c r="A18" s="7" t="s">
        <v>1</v>
      </c>
      <c r="B18" s="3" t="s">
        <v>5</v>
      </c>
      <c r="C18">
        <v>1</v>
      </c>
      <c r="D18">
        <v>7</v>
      </c>
      <c r="E18">
        <f>(D18)/(D18+C18)</f>
        <v>0.875</v>
      </c>
      <c r="F18">
        <f>(C18)/(C18+D18)</f>
        <v>0.125</v>
      </c>
      <c r="G18">
        <f>-LOG(E18,2)</f>
        <v>0.19264507794239591</v>
      </c>
      <c r="H18">
        <f>-LOG(F18,2)</f>
        <v>3</v>
      </c>
      <c r="I18">
        <f>E18*G18+F18*H18</f>
        <v>0.5435644431995964</v>
      </c>
      <c r="J18" s="9">
        <f>(I18*(C18+D18)+I19*(C19+D19))/(C18+D18+C19+D19)</f>
        <v>0.5435644431995964</v>
      </c>
    </row>
    <row r="19" spans="1:10" x14ac:dyDescent="0.2">
      <c r="A19" s="7"/>
      <c r="B19" s="3" t="s">
        <v>6</v>
      </c>
      <c r="C19">
        <v>1</v>
      </c>
      <c r="D19">
        <v>7</v>
      </c>
      <c r="E19">
        <f>D19/(D19+C19)</f>
        <v>0.875</v>
      </c>
      <c r="F19">
        <f>(C19)/(C19+D19)</f>
        <v>0.125</v>
      </c>
      <c r="G19">
        <f>-LOG(E19,2)</f>
        <v>0.19264507794239591</v>
      </c>
      <c r="H19">
        <f>IFERROR(-LOG(F19,2),0)</f>
        <v>3</v>
      </c>
      <c r="I19">
        <f>E19*G19+F19*H19</f>
        <v>0.5435644431995964</v>
      </c>
      <c r="J19" s="9"/>
    </row>
    <row r="25" spans="1:10" x14ac:dyDescent="0.2">
      <c r="B25" s="2" t="s">
        <v>0</v>
      </c>
      <c r="C25" t="s">
        <v>6</v>
      </c>
    </row>
    <row r="26" spans="1:10" x14ac:dyDescent="0.2">
      <c r="C26" s="7" t="s">
        <v>4</v>
      </c>
      <c r="D26" s="7"/>
    </row>
    <row r="27" spans="1:10" x14ac:dyDescent="0.2">
      <c r="B27" s="2" t="s">
        <v>9</v>
      </c>
      <c r="C27" s="2" t="s">
        <v>8</v>
      </c>
    </row>
    <row r="28" spans="1:10" x14ac:dyDescent="0.2">
      <c r="B28" s="2" t="s">
        <v>7</v>
      </c>
      <c r="C28" t="s">
        <v>5</v>
      </c>
      <c r="D28" t="s">
        <v>6</v>
      </c>
      <c r="E28" s="4" t="s">
        <v>11</v>
      </c>
      <c r="F28" t="s">
        <v>12</v>
      </c>
      <c r="G28" t="s">
        <v>13</v>
      </c>
      <c r="H28" t="s">
        <v>14</v>
      </c>
      <c r="I28" t="s">
        <v>10</v>
      </c>
      <c r="J28" t="s">
        <v>18</v>
      </c>
    </row>
    <row r="29" spans="1:10" x14ac:dyDescent="0.2">
      <c r="A29" s="7" t="s">
        <v>3</v>
      </c>
      <c r="B29" s="3" t="s">
        <v>5</v>
      </c>
      <c r="C29">
        <v>1</v>
      </c>
      <c r="D29">
        <v>7</v>
      </c>
      <c r="E29">
        <f>(D29)/(D29+C29)</f>
        <v>0.875</v>
      </c>
      <c r="F29">
        <f>(C29)/(C29+D29)</f>
        <v>0.125</v>
      </c>
      <c r="G29">
        <f>-LOG(E29,2)</f>
        <v>0.19264507794239591</v>
      </c>
      <c r="H29">
        <f>-LOG(F29,2)</f>
        <v>3</v>
      </c>
      <c r="I29">
        <f>E29*G29+F29*H29</f>
        <v>0.5435644431995964</v>
      </c>
      <c r="J29" s="9">
        <f>(I29*(C29+D29)+I30*(C30+D30))/(C29+D29+C30+D30)</f>
        <v>0.5435644431995964</v>
      </c>
    </row>
    <row r="30" spans="1:10" x14ac:dyDescent="0.2">
      <c r="A30" s="7"/>
      <c r="B30" s="3" t="s">
        <v>6</v>
      </c>
      <c r="C30">
        <v>1</v>
      </c>
      <c r="D30">
        <v>7</v>
      </c>
      <c r="E30">
        <f>D30/(D30+C30)</f>
        <v>0.875</v>
      </c>
      <c r="F30">
        <f>(C30)/(C30+D30)</f>
        <v>0.125</v>
      </c>
      <c r="G30">
        <f>-LOG(E30,2)</f>
        <v>0.19264507794239591</v>
      </c>
      <c r="H30">
        <f>IFERROR(-LOG(F30,2),0)</f>
        <v>3</v>
      </c>
      <c r="I30">
        <f>E30*G30+F30*H30</f>
        <v>0.5435644431995964</v>
      </c>
      <c r="J30" s="9"/>
    </row>
    <row r="35" spans="1:10" x14ac:dyDescent="0.2">
      <c r="B35" s="2" t="s">
        <v>0</v>
      </c>
      <c r="C35" t="s">
        <v>5</v>
      </c>
    </row>
    <row r="36" spans="1:10" x14ac:dyDescent="0.2">
      <c r="C36" s="7" t="s">
        <v>4</v>
      </c>
      <c r="D36" s="7"/>
    </row>
    <row r="37" spans="1:10" x14ac:dyDescent="0.2">
      <c r="B37" s="2" t="s">
        <v>9</v>
      </c>
      <c r="C37" s="2" t="s">
        <v>8</v>
      </c>
    </row>
    <row r="38" spans="1:10" x14ac:dyDescent="0.2">
      <c r="B38" s="2" t="s">
        <v>7</v>
      </c>
      <c r="C38" t="s">
        <v>5</v>
      </c>
      <c r="D38" t="s">
        <v>6</v>
      </c>
      <c r="E38" s="4" t="s">
        <v>11</v>
      </c>
      <c r="F38" t="s">
        <v>12</v>
      </c>
      <c r="G38" t="s">
        <v>13</v>
      </c>
      <c r="H38" t="s">
        <v>14</v>
      </c>
      <c r="I38" t="s">
        <v>10</v>
      </c>
      <c r="J38" t="s">
        <v>16</v>
      </c>
    </row>
    <row r="39" spans="1:10" x14ac:dyDescent="0.2">
      <c r="A39" s="7" t="s">
        <v>2</v>
      </c>
      <c r="B39" s="3" t="s">
        <v>5</v>
      </c>
      <c r="C39">
        <v>6</v>
      </c>
      <c r="D39">
        <v>2</v>
      </c>
      <c r="E39">
        <f>(D39)/(D39+C39)</f>
        <v>0.25</v>
      </c>
      <c r="F39">
        <f>(C39)/(C39+D39)</f>
        <v>0.75</v>
      </c>
      <c r="G39">
        <f>-LOG(E39,2)</f>
        <v>2</v>
      </c>
      <c r="H39">
        <f>-LOG(F39,2)</f>
        <v>0.41503749927884381</v>
      </c>
      <c r="I39">
        <f>E39*G39+F39*H39</f>
        <v>0.81127812445913283</v>
      </c>
      <c r="J39" s="9">
        <f>(I39*(C39+D39)+I40*(C40+D40))/(C39+D39+C40+D40)</f>
        <v>0.90563906222956647</v>
      </c>
    </row>
    <row r="40" spans="1:10" x14ac:dyDescent="0.2">
      <c r="A40" s="7"/>
      <c r="B40" s="3" t="s">
        <v>6</v>
      </c>
      <c r="C40">
        <v>4</v>
      </c>
      <c r="D40">
        <v>4</v>
      </c>
      <c r="E40">
        <f>D40/(D40+C40)</f>
        <v>0.5</v>
      </c>
      <c r="F40">
        <f>(C40)/(C40+D40)</f>
        <v>0.5</v>
      </c>
      <c r="G40">
        <f>-LOG(E40,2)</f>
        <v>1</v>
      </c>
      <c r="H40">
        <f>IFERROR(-LOG(F40,2),0)</f>
        <v>1</v>
      </c>
      <c r="I40">
        <f>E40*G40+F40*H40</f>
        <v>1</v>
      </c>
      <c r="J40" s="9"/>
    </row>
    <row r="46" spans="1:10" x14ac:dyDescent="0.2">
      <c r="B46" s="2" t="s">
        <v>0</v>
      </c>
      <c r="C46" t="s">
        <v>5</v>
      </c>
    </row>
    <row r="47" spans="1:10" x14ac:dyDescent="0.2">
      <c r="C47" s="7" t="s">
        <v>4</v>
      </c>
      <c r="D47" s="7"/>
    </row>
    <row r="48" spans="1:10" x14ac:dyDescent="0.2">
      <c r="B48" s="2" t="s">
        <v>9</v>
      </c>
      <c r="C48" s="2" t="s">
        <v>8</v>
      </c>
    </row>
    <row r="49" spans="1:10" x14ac:dyDescent="0.2">
      <c r="B49" s="2" t="s">
        <v>7</v>
      </c>
      <c r="C49" t="s">
        <v>5</v>
      </c>
      <c r="D49" t="s">
        <v>6</v>
      </c>
      <c r="E49" s="4" t="s">
        <v>11</v>
      </c>
      <c r="F49" t="s">
        <v>12</v>
      </c>
      <c r="G49" t="s">
        <v>13</v>
      </c>
      <c r="H49" t="s">
        <v>14</v>
      </c>
      <c r="I49" t="s">
        <v>10</v>
      </c>
      <c r="J49" t="s">
        <v>17</v>
      </c>
    </row>
    <row r="50" spans="1:10" x14ac:dyDescent="0.2">
      <c r="A50" s="7" t="s">
        <v>1</v>
      </c>
      <c r="B50" s="3" t="s">
        <v>5</v>
      </c>
      <c r="C50">
        <v>8</v>
      </c>
      <c r="E50">
        <f>(D50)/(D50+C50)</f>
        <v>0</v>
      </c>
      <c r="F50">
        <f>(C50)/(C50+D50)</f>
        <v>1</v>
      </c>
      <c r="G50">
        <f>IFERROR(-LOG(E50,2),0)</f>
        <v>0</v>
      </c>
      <c r="H50">
        <f>-LOG(F50,2)</f>
        <v>0</v>
      </c>
      <c r="I50">
        <f>E50*G50+F50*H50</f>
        <v>0</v>
      </c>
      <c r="J50" s="11">
        <f>(I50*(C50+D50)+I51*(C51+D51))/(C50+D50+C51+D51)</f>
        <v>0.40563906222956642</v>
      </c>
    </row>
    <row r="51" spans="1:10" x14ac:dyDescent="0.2">
      <c r="A51" s="7"/>
      <c r="B51" s="3" t="s">
        <v>6</v>
      </c>
      <c r="C51">
        <v>2</v>
      </c>
      <c r="D51">
        <v>6</v>
      </c>
      <c r="E51">
        <f>D51/(D51+C51)</f>
        <v>0.75</v>
      </c>
      <c r="F51">
        <f>(C51)/(C51+D51)</f>
        <v>0.25</v>
      </c>
      <c r="G51">
        <f>-LOG(E51,2)</f>
        <v>0.41503749927884381</v>
      </c>
      <c r="H51">
        <f>IFERROR(-LOG(F51,2),0)</f>
        <v>2</v>
      </c>
      <c r="I51">
        <f>E51*G51+F51*H51</f>
        <v>0.81127812445913283</v>
      </c>
      <c r="J51" s="11"/>
    </row>
    <row r="57" spans="1:10" x14ac:dyDescent="0.2">
      <c r="B57" s="2" t="s">
        <v>0</v>
      </c>
      <c r="C57" t="s">
        <v>5</v>
      </c>
    </row>
    <row r="58" spans="1:10" x14ac:dyDescent="0.2">
      <c r="C58" s="7" t="s">
        <v>4</v>
      </c>
      <c r="D58" s="7"/>
    </row>
    <row r="59" spans="1:10" x14ac:dyDescent="0.2">
      <c r="B59" s="2" t="s">
        <v>9</v>
      </c>
      <c r="C59" s="2" t="s">
        <v>8</v>
      </c>
    </row>
    <row r="60" spans="1:10" x14ac:dyDescent="0.2">
      <c r="B60" s="2" t="s">
        <v>7</v>
      </c>
      <c r="C60" t="s">
        <v>5</v>
      </c>
      <c r="D60" t="s">
        <v>6</v>
      </c>
      <c r="E60" s="4" t="s">
        <v>11</v>
      </c>
      <c r="F60" t="s">
        <v>12</v>
      </c>
      <c r="G60" t="s">
        <v>13</v>
      </c>
      <c r="H60" t="s">
        <v>14</v>
      </c>
      <c r="I60" t="s">
        <v>10</v>
      </c>
      <c r="J60" t="s">
        <v>18</v>
      </c>
    </row>
    <row r="61" spans="1:10" x14ac:dyDescent="0.2">
      <c r="A61" s="7" t="s">
        <v>3</v>
      </c>
      <c r="B61" s="3" t="s">
        <v>5</v>
      </c>
      <c r="C61">
        <v>4</v>
      </c>
      <c r="D61">
        <v>4</v>
      </c>
      <c r="E61">
        <f>(D61)/(D61+C61)</f>
        <v>0.5</v>
      </c>
      <c r="F61">
        <f>(C61)/(C61+D61)</f>
        <v>0.5</v>
      </c>
      <c r="G61">
        <f>-LOG(E61,2)</f>
        <v>1</v>
      </c>
      <c r="H61">
        <f>-LOG(F61,2)</f>
        <v>1</v>
      </c>
      <c r="I61">
        <f>E61*G61+F61*H61</f>
        <v>1</v>
      </c>
      <c r="J61" s="9">
        <f>(I61*(C61+D61)+I62*(C62+D62))/(C61+D61+C62+D62)</f>
        <v>0.90563906222956647</v>
      </c>
    </row>
    <row r="62" spans="1:10" x14ac:dyDescent="0.2">
      <c r="A62" s="7"/>
      <c r="B62" s="3" t="s">
        <v>6</v>
      </c>
      <c r="C62">
        <v>6</v>
      </c>
      <c r="D62">
        <v>2</v>
      </c>
      <c r="E62">
        <f>D62/(D62+C62)</f>
        <v>0.25</v>
      </c>
      <c r="F62">
        <f>(C62)/(C62+D62)</f>
        <v>0.75</v>
      </c>
      <c r="G62">
        <f>-LOG(E62,2)</f>
        <v>2</v>
      </c>
      <c r="H62">
        <f>IFERROR(-LOG(F62,2),0)</f>
        <v>0.41503749927884381</v>
      </c>
      <c r="I62">
        <f>E62*G62+F62*H62</f>
        <v>0.81127812445913283</v>
      </c>
      <c r="J62" s="9"/>
    </row>
  </sheetData>
  <mergeCells count="18">
    <mergeCell ref="C4:D4"/>
    <mergeCell ref="A7:A8"/>
    <mergeCell ref="J7:J8"/>
    <mergeCell ref="C15:D15"/>
    <mergeCell ref="A18:A19"/>
    <mergeCell ref="J18:J19"/>
    <mergeCell ref="C26:D26"/>
    <mergeCell ref="A29:A30"/>
    <mergeCell ref="J29:J30"/>
    <mergeCell ref="C36:D36"/>
    <mergeCell ref="A39:A40"/>
    <mergeCell ref="J39:J40"/>
    <mergeCell ref="C47:D47"/>
    <mergeCell ref="A50:A51"/>
    <mergeCell ref="J50:J51"/>
    <mergeCell ref="C58:D58"/>
    <mergeCell ref="A61:A62"/>
    <mergeCell ref="J61:J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EC22-6A9F-F446-982D-8D87C24934FC}">
  <dimension ref="B2:K43"/>
  <sheetViews>
    <sheetView topLeftCell="A32" zoomScale="119" workbookViewId="0">
      <selection activeCell="B42" sqref="B42:B43"/>
    </sheetView>
  </sheetViews>
  <sheetFormatPr baseColWidth="10" defaultRowHeight="15" x14ac:dyDescent="0.2"/>
  <cols>
    <col min="3" max="3" width="12.33203125" bestFit="1" customWidth="1"/>
    <col min="4" max="4" width="14.83203125" bestFit="1" customWidth="1"/>
    <col min="5" max="5" width="3.83203125" bestFit="1" customWidth="1"/>
    <col min="11" max="11" width="18.1640625" bestFit="1" customWidth="1"/>
  </cols>
  <sheetData>
    <row r="2" spans="2:11" x14ac:dyDescent="0.2">
      <c r="C2" s="2" t="s">
        <v>0</v>
      </c>
      <c r="D2" t="s">
        <v>6</v>
      </c>
    </row>
    <row r="3" spans="2:11" x14ac:dyDescent="0.2">
      <c r="C3" s="2" t="s">
        <v>2</v>
      </c>
      <c r="D3" t="s">
        <v>5</v>
      </c>
    </row>
    <row r="4" spans="2:11" x14ac:dyDescent="0.2">
      <c r="D4" s="7" t="s">
        <v>4</v>
      </c>
      <c r="E4" s="7"/>
    </row>
    <row r="5" spans="2:11" x14ac:dyDescent="0.2">
      <c r="C5" s="2" t="s">
        <v>9</v>
      </c>
      <c r="D5" s="2" t="s">
        <v>8</v>
      </c>
    </row>
    <row r="6" spans="2:11" x14ac:dyDescent="0.2">
      <c r="C6" s="2" t="s">
        <v>7</v>
      </c>
      <c r="D6" s="6" t="s">
        <v>5</v>
      </c>
      <c r="E6" s="6" t="s">
        <v>6</v>
      </c>
      <c r="F6" s="4" t="s">
        <v>11</v>
      </c>
      <c r="G6" t="s">
        <v>12</v>
      </c>
      <c r="H6" t="s">
        <v>13</v>
      </c>
      <c r="I6" t="s">
        <v>14</v>
      </c>
      <c r="J6" t="s">
        <v>10</v>
      </c>
      <c r="K6" t="s">
        <v>17</v>
      </c>
    </row>
    <row r="7" spans="2:11" x14ac:dyDescent="0.2">
      <c r="B7" s="7" t="s">
        <v>1</v>
      </c>
      <c r="C7" s="3" t="s">
        <v>5</v>
      </c>
      <c r="D7">
        <v>1</v>
      </c>
      <c r="E7">
        <v>3</v>
      </c>
      <c r="F7">
        <f>(E7)/(E7+D7)</f>
        <v>0.75</v>
      </c>
      <c r="G7">
        <f>(D7)/(D7+E7)</f>
        <v>0.25</v>
      </c>
      <c r="H7">
        <f>-LOG(F7,2)</f>
        <v>0.41503749927884381</v>
      </c>
      <c r="I7">
        <f>-LOG(G7,2)</f>
        <v>2</v>
      </c>
      <c r="J7">
        <f>F7*H7+G7*I7</f>
        <v>0.81127812445913283</v>
      </c>
      <c r="K7" s="8">
        <f>(J7*(D7+E7)+J8*(D8+E8))/(D7+E7+D8+E8)</f>
        <v>0.81127812445913283</v>
      </c>
    </row>
    <row r="8" spans="2:11" x14ac:dyDescent="0.2">
      <c r="B8" s="7"/>
      <c r="C8" s="3" t="s">
        <v>6</v>
      </c>
      <c r="D8">
        <v>1</v>
      </c>
      <c r="E8">
        <v>3</v>
      </c>
      <c r="F8">
        <f>E8/(E8+D8)</f>
        <v>0.75</v>
      </c>
      <c r="G8">
        <f>(D8)/(D8+E8)</f>
        <v>0.25</v>
      </c>
      <c r="H8">
        <f>-LOG(F8,2)</f>
        <v>0.41503749927884381</v>
      </c>
      <c r="I8">
        <f>IFERROR(-LOG(G8,2),0)</f>
        <v>2</v>
      </c>
      <c r="J8">
        <f>F8*H8+G8*I8</f>
        <v>0.81127812445913283</v>
      </c>
      <c r="K8" s="8"/>
    </row>
    <row r="12" spans="2:11" x14ac:dyDescent="0.2">
      <c r="C12" s="2" t="s">
        <v>0</v>
      </c>
      <c r="D12" t="s">
        <v>6</v>
      </c>
    </row>
    <row r="13" spans="2:11" x14ac:dyDescent="0.2">
      <c r="C13" s="2" t="s">
        <v>2</v>
      </c>
      <c r="D13" t="s">
        <v>5</v>
      </c>
    </row>
    <row r="14" spans="2:11" x14ac:dyDescent="0.2">
      <c r="D14" s="7" t="s">
        <v>4</v>
      </c>
      <c r="E14" s="7"/>
    </row>
    <row r="15" spans="2:11" x14ac:dyDescent="0.2">
      <c r="C15" s="2" t="s">
        <v>9</v>
      </c>
      <c r="D15" s="2" t="s">
        <v>8</v>
      </c>
    </row>
    <row r="16" spans="2:11" x14ac:dyDescent="0.2">
      <c r="C16" s="2" t="s">
        <v>7</v>
      </c>
      <c r="D16" s="6" t="s">
        <v>5</v>
      </c>
      <c r="E16" s="6" t="s">
        <v>6</v>
      </c>
      <c r="F16" s="4" t="s">
        <v>11</v>
      </c>
      <c r="G16" t="s">
        <v>12</v>
      </c>
      <c r="H16" t="s">
        <v>13</v>
      </c>
      <c r="I16" t="s">
        <v>14</v>
      </c>
      <c r="J16" t="s">
        <v>10</v>
      </c>
      <c r="K16" t="s">
        <v>18</v>
      </c>
    </row>
    <row r="17" spans="2:11" x14ac:dyDescent="0.2">
      <c r="B17" s="7" t="s">
        <v>3</v>
      </c>
      <c r="C17" s="3" t="s">
        <v>5</v>
      </c>
      <c r="D17">
        <v>1</v>
      </c>
      <c r="E17">
        <v>3</v>
      </c>
      <c r="F17">
        <f>(E17)/(E17+D17)</f>
        <v>0.75</v>
      </c>
      <c r="G17">
        <f>(D17)/(D17+E17)</f>
        <v>0.25</v>
      </c>
      <c r="H17">
        <f>-LOG(F17,2)</f>
        <v>0.41503749927884381</v>
      </c>
      <c r="I17">
        <f>-LOG(G17,2)</f>
        <v>2</v>
      </c>
      <c r="J17">
        <f>F17*H17+G17*I17</f>
        <v>0.81127812445913283</v>
      </c>
      <c r="K17" s="8">
        <f>(J17*(D17+E17)+J18*(D18+E18))/(D17+E17+D18+E18)</f>
        <v>0.81127812445913283</v>
      </c>
    </row>
    <row r="18" spans="2:11" x14ac:dyDescent="0.2">
      <c r="B18" s="7"/>
      <c r="C18" s="3" t="s">
        <v>6</v>
      </c>
      <c r="D18">
        <v>1</v>
      </c>
      <c r="E18">
        <v>3</v>
      </c>
      <c r="F18">
        <f>E18/(E18+D18)</f>
        <v>0.75</v>
      </c>
      <c r="G18">
        <f>(D18)/(D18+E18)</f>
        <v>0.25</v>
      </c>
      <c r="H18">
        <f>-LOG(F18,2)</f>
        <v>0.41503749927884381</v>
      </c>
      <c r="I18">
        <f>IFERROR(-LOG(G18,2),0)</f>
        <v>2</v>
      </c>
      <c r="J18">
        <f>F18*H18+G18*I18</f>
        <v>0.81127812445913283</v>
      </c>
      <c r="K18" s="8"/>
    </row>
    <row r="27" spans="2:11" x14ac:dyDescent="0.2">
      <c r="C27" s="2" t="s">
        <v>0</v>
      </c>
      <c r="D27" t="s">
        <v>5</v>
      </c>
    </row>
    <row r="28" spans="2:11" x14ac:dyDescent="0.2">
      <c r="C28" s="2" t="s">
        <v>1</v>
      </c>
      <c r="D28" t="s">
        <v>6</v>
      </c>
    </row>
    <row r="29" spans="2:11" x14ac:dyDescent="0.2">
      <c r="D29" s="7" t="s">
        <v>4</v>
      </c>
      <c r="E29" s="7"/>
    </row>
    <row r="30" spans="2:11" x14ac:dyDescent="0.2">
      <c r="C30" s="2" t="s">
        <v>9</v>
      </c>
      <c r="D30" s="2" t="s">
        <v>8</v>
      </c>
    </row>
    <row r="31" spans="2:11" x14ac:dyDescent="0.2">
      <c r="C31" s="2" t="s">
        <v>7</v>
      </c>
      <c r="D31" s="6" t="s">
        <v>5</v>
      </c>
      <c r="E31" s="6" t="s">
        <v>6</v>
      </c>
      <c r="F31" s="4" t="s">
        <v>11</v>
      </c>
      <c r="G31" t="s">
        <v>12</v>
      </c>
      <c r="H31" t="s">
        <v>13</v>
      </c>
      <c r="I31" t="s">
        <v>14</v>
      </c>
      <c r="J31" t="s">
        <v>10</v>
      </c>
      <c r="K31" t="s">
        <v>17</v>
      </c>
    </row>
    <row r="32" spans="2:11" x14ac:dyDescent="0.2">
      <c r="B32" s="7" t="s">
        <v>1</v>
      </c>
      <c r="C32" s="3" t="s">
        <v>5</v>
      </c>
      <c r="D32">
        <v>2</v>
      </c>
      <c r="E32">
        <v>2</v>
      </c>
      <c r="F32">
        <f>(E32)/(E32+D32)</f>
        <v>0.5</v>
      </c>
      <c r="G32">
        <f>(D32)/(D32+E32)</f>
        <v>0.5</v>
      </c>
      <c r="H32">
        <f>-LOG(F32,2)</f>
        <v>1</v>
      </c>
      <c r="I32">
        <f>-LOG(G32,2)</f>
        <v>1</v>
      </c>
      <c r="J32">
        <f>F32*H32+G32*I32</f>
        <v>1</v>
      </c>
      <c r="K32" s="8">
        <f>(J32*(D32+E32)+J33*(D33+E33))/(D32+E32+D33+E33)</f>
        <v>1</v>
      </c>
    </row>
    <row r="33" spans="2:11" x14ac:dyDescent="0.2">
      <c r="B33" s="7"/>
      <c r="F33">
        <f>IFERROR(E33/(E33+D33),0)</f>
        <v>0</v>
      </c>
      <c r="G33">
        <f>IFERROR((D33)/(D33+E33),0)</f>
        <v>0</v>
      </c>
      <c r="H33">
        <f>IFERROR(-LOG(F33,2),0)</f>
        <v>0</v>
      </c>
      <c r="I33">
        <f>IFERROR(-LOG(G33,2),0)</f>
        <v>0</v>
      </c>
      <c r="J33">
        <f>F33*H33+G33*I33</f>
        <v>0</v>
      </c>
      <c r="K33" s="8"/>
    </row>
    <row r="37" spans="2:11" x14ac:dyDescent="0.2">
      <c r="C37" s="2" t="s">
        <v>0</v>
      </c>
      <c r="D37" t="s">
        <v>6</v>
      </c>
    </row>
    <row r="38" spans="2:11" x14ac:dyDescent="0.2">
      <c r="C38" s="2" t="s">
        <v>1</v>
      </c>
      <c r="D38" t="s">
        <v>6</v>
      </c>
    </row>
    <row r="39" spans="2:11" x14ac:dyDescent="0.2">
      <c r="D39" s="7" t="s">
        <v>4</v>
      </c>
      <c r="E39" s="7"/>
    </row>
    <row r="40" spans="2:11" x14ac:dyDescent="0.2">
      <c r="C40" s="2" t="s">
        <v>9</v>
      </c>
      <c r="D40" s="2" t="s">
        <v>8</v>
      </c>
    </row>
    <row r="41" spans="2:11" x14ac:dyDescent="0.2">
      <c r="C41" s="2" t="s">
        <v>7</v>
      </c>
      <c r="D41" s="6" t="s">
        <v>5</v>
      </c>
      <c r="E41" s="6" t="s">
        <v>6</v>
      </c>
      <c r="F41" s="4" t="s">
        <v>11</v>
      </c>
      <c r="G41" t="s">
        <v>12</v>
      </c>
      <c r="H41" t="s">
        <v>13</v>
      </c>
      <c r="I41" t="s">
        <v>14</v>
      </c>
      <c r="J41" t="s">
        <v>10</v>
      </c>
      <c r="K41" t="s">
        <v>18</v>
      </c>
    </row>
    <row r="42" spans="2:11" x14ac:dyDescent="0.2">
      <c r="B42" s="7" t="s">
        <v>3</v>
      </c>
      <c r="C42" s="3" t="s">
        <v>5</v>
      </c>
      <c r="D42">
        <v>1</v>
      </c>
      <c r="E42">
        <v>3</v>
      </c>
      <c r="F42">
        <f>(E42)/(E42+D42)</f>
        <v>0.75</v>
      </c>
      <c r="G42">
        <f>(D42)/(D42+E42)</f>
        <v>0.25</v>
      </c>
      <c r="H42">
        <f>-LOG(F42,2)</f>
        <v>0.41503749927884381</v>
      </c>
      <c r="I42">
        <f>-LOG(G42,2)</f>
        <v>2</v>
      </c>
      <c r="J42">
        <f>F42*H42+G42*I42</f>
        <v>0.81127812445913283</v>
      </c>
      <c r="K42" s="8">
        <f>(J42*(D42+E42)+J43*(D43+E43))/(D42+E42+D43+E43)</f>
        <v>0.40563906222956642</v>
      </c>
    </row>
    <row r="43" spans="2:11" x14ac:dyDescent="0.2">
      <c r="B43" s="7"/>
      <c r="C43" s="3" t="s">
        <v>6</v>
      </c>
      <c r="E43">
        <v>4</v>
      </c>
      <c r="F43">
        <f>E43/(E43+D43)</f>
        <v>1</v>
      </c>
      <c r="G43">
        <f>(D43)/(D43+E43)</f>
        <v>0</v>
      </c>
      <c r="H43">
        <f>-LOG(F43,2)</f>
        <v>0</v>
      </c>
      <c r="I43">
        <f>IFERROR(-LOG(G43,2),0)</f>
        <v>0</v>
      </c>
      <c r="J43">
        <f>F43*H43+G43*I43</f>
        <v>0</v>
      </c>
      <c r="K43" s="8"/>
    </row>
  </sheetData>
  <mergeCells count="12">
    <mergeCell ref="D4:E4"/>
    <mergeCell ref="B7:B8"/>
    <mergeCell ref="K7:K8"/>
    <mergeCell ref="D14:E14"/>
    <mergeCell ref="B17:B18"/>
    <mergeCell ref="K17:K18"/>
    <mergeCell ref="D29:E29"/>
    <mergeCell ref="B32:B33"/>
    <mergeCell ref="K32:K33"/>
    <mergeCell ref="D39:E39"/>
    <mergeCell ref="B42:B43"/>
    <mergeCell ref="K42:K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Iteration 1</vt:lpstr>
      <vt:lpstr>Iteration 2</vt:lpstr>
      <vt:lpstr>Iteration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</cp:lastModifiedBy>
  <dcterms:created xsi:type="dcterms:W3CDTF">2026-08-06T17:01:32Z</dcterms:created>
  <dcterms:modified xsi:type="dcterms:W3CDTF">2026-09-30T07:37:57Z</dcterms:modified>
</cp:coreProperties>
</file>