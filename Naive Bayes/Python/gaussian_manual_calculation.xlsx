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vscode/personal_projects/careertronic/classification/careertronic_classification/Naive Bayes/Python/"/>
    </mc:Choice>
  </mc:AlternateContent>
  <xr:revisionPtr revIDLastSave="0" documentId="8_{52465211-26D5-204E-84A1-A87114125840}" xr6:coauthVersionLast="47" xr6:coauthVersionMax="47" xr10:uidLastSave="{00000000-0000-0000-0000-000000000000}"/>
  <bookViews>
    <workbookView xWindow="0" yWindow="0" windowWidth="28800" windowHeight="18000" xr2:uid="{60815B54-5493-0B41-9633-98A46E2A3918}"/>
  </bookViews>
  <sheets>
    <sheet name="Social_Network_Ads" sheetId="1" r:id="rId1"/>
    <sheet name="Gaussian_calculation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30" i="2"/>
  <c r="D30" i="2"/>
  <c r="E29" i="2"/>
  <c r="D29" i="2"/>
  <c r="F29" i="2" s="1"/>
  <c r="E23" i="2"/>
  <c r="D23" i="2"/>
  <c r="F23" i="2" s="1"/>
  <c r="E22" i="2"/>
  <c r="D22" i="2"/>
  <c r="F22" i="2" s="1"/>
  <c r="D24" i="2"/>
  <c r="F30" i="2" l="1"/>
  <c r="H29" i="2" s="1"/>
  <c r="H23" i="2"/>
  <c r="J29" i="2" l="1"/>
  <c r="J23" i="2"/>
</calcChain>
</file>

<file path=xl/sharedStrings.xml><?xml version="1.0" encoding="utf-8"?>
<sst xmlns="http://schemas.openxmlformats.org/spreadsheetml/2006/main" count="30" uniqueCount="21">
  <si>
    <t>Age</t>
  </si>
  <si>
    <t>EstimatedSalary</t>
  </si>
  <si>
    <t>Purchased</t>
  </si>
  <si>
    <t>Row Labels</t>
  </si>
  <si>
    <t>Grand Total</t>
  </si>
  <si>
    <t>Average of Age</t>
  </si>
  <si>
    <t>StdDev of Age</t>
  </si>
  <si>
    <t>Average of EstimatedSalary</t>
  </si>
  <si>
    <t>StdDev of EstimatedSalary2</t>
  </si>
  <si>
    <t>P(Yes|X)</t>
  </si>
  <si>
    <t>P(Age|Yes)</t>
  </si>
  <si>
    <t>P(Salary|Yes)</t>
  </si>
  <si>
    <t>P(Yes)</t>
  </si>
  <si>
    <t>Count of Age</t>
  </si>
  <si>
    <t>Part1</t>
  </si>
  <si>
    <t>Part2</t>
  </si>
  <si>
    <t>Part3</t>
  </si>
  <si>
    <t>P(No|X)</t>
  </si>
  <si>
    <t>P(Age|No)</t>
  </si>
  <si>
    <t>P(Salary|No)</t>
  </si>
  <si>
    <t>P(No)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</si>
</sst>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juneja" refreshedDate="46295.266050115744" createdVersion="8" refreshedVersion="8" minRefreshableVersion="3" recordCount="400" xr:uid="{05408E2A-7FBA-0E46-A316-D2C48859AEE4}">
  <cacheSource type="worksheet">
    <worksheetSource ref="A1:C401" sheet="Social_Network_Ads"/>
  </cacheSource>
  <cacheFields count="3">
    <cacheField name="Age" numFmtId="0">
      <sharedItems containsSemiMixedTypes="0" containsString="0" containsNumber="1" containsInteger="1" minValue="18" maxValue="60"/>
    </cacheField>
    <cacheField name="EstimatedSalary" numFmtId="0">
      <sharedItems containsSemiMixedTypes="0" containsString="0" containsNumber="1" containsInteger="1" minValue="15000" maxValue="150000"/>
    </cacheField>
    <cacheField name="Purchas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9"/>
    <n v="19000"/>
    <x v="0"/>
  </r>
  <r>
    <n v="35"/>
    <n v="20000"/>
    <x v="0"/>
  </r>
  <r>
    <n v="26"/>
    <n v="43000"/>
    <x v="0"/>
  </r>
  <r>
    <n v="27"/>
    <n v="57000"/>
    <x v="0"/>
  </r>
  <r>
    <n v="19"/>
    <n v="76000"/>
    <x v="0"/>
  </r>
  <r>
    <n v="27"/>
    <n v="58000"/>
    <x v="0"/>
  </r>
  <r>
    <n v="27"/>
    <n v="84000"/>
    <x v="0"/>
  </r>
  <r>
    <n v="32"/>
    <n v="150000"/>
    <x v="1"/>
  </r>
  <r>
    <n v="25"/>
    <n v="33000"/>
    <x v="0"/>
  </r>
  <r>
    <n v="35"/>
    <n v="65000"/>
    <x v="0"/>
  </r>
  <r>
    <n v="26"/>
    <n v="80000"/>
    <x v="0"/>
  </r>
  <r>
    <n v="26"/>
    <n v="52000"/>
    <x v="0"/>
  </r>
  <r>
    <n v="20"/>
    <n v="86000"/>
    <x v="0"/>
  </r>
  <r>
    <n v="32"/>
    <n v="18000"/>
    <x v="0"/>
  </r>
  <r>
    <n v="18"/>
    <n v="82000"/>
    <x v="0"/>
  </r>
  <r>
    <n v="29"/>
    <n v="80000"/>
    <x v="0"/>
  </r>
  <r>
    <n v="47"/>
    <n v="25000"/>
    <x v="1"/>
  </r>
  <r>
    <n v="45"/>
    <n v="26000"/>
    <x v="1"/>
  </r>
  <r>
    <n v="46"/>
    <n v="28000"/>
    <x v="1"/>
  </r>
  <r>
    <n v="48"/>
    <n v="29000"/>
    <x v="1"/>
  </r>
  <r>
    <n v="45"/>
    <n v="22000"/>
    <x v="1"/>
  </r>
  <r>
    <n v="47"/>
    <n v="49000"/>
    <x v="1"/>
  </r>
  <r>
    <n v="48"/>
    <n v="41000"/>
    <x v="1"/>
  </r>
  <r>
    <n v="45"/>
    <n v="22000"/>
    <x v="1"/>
  </r>
  <r>
    <n v="46"/>
    <n v="23000"/>
    <x v="1"/>
  </r>
  <r>
    <n v="47"/>
    <n v="20000"/>
    <x v="1"/>
  </r>
  <r>
    <n v="49"/>
    <n v="28000"/>
    <x v="1"/>
  </r>
  <r>
    <n v="47"/>
    <n v="30000"/>
    <x v="1"/>
  </r>
  <r>
    <n v="29"/>
    <n v="43000"/>
    <x v="0"/>
  </r>
  <r>
    <n v="31"/>
    <n v="18000"/>
    <x v="0"/>
  </r>
  <r>
    <n v="31"/>
    <n v="74000"/>
    <x v="0"/>
  </r>
  <r>
    <n v="27"/>
    <n v="137000"/>
    <x v="1"/>
  </r>
  <r>
    <n v="21"/>
    <n v="16000"/>
    <x v="0"/>
  </r>
  <r>
    <n v="28"/>
    <n v="44000"/>
    <x v="0"/>
  </r>
  <r>
    <n v="27"/>
    <n v="90000"/>
    <x v="0"/>
  </r>
  <r>
    <n v="35"/>
    <n v="27000"/>
    <x v="0"/>
  </r>
  <r>
    <n v="33"/>
    <n v="28000"/>
    <x v="0"/>
  </r>
  <r>
    <n v="30"/>
    <n v="49000"/>
    <x v="0"/>
  </r>
  <r>
    <n v="26"/>
    <n v="72000"/>
    <x v="0"/>
  </r>
  <r>
    <n v="27"/>
    <n v="31000"/>
    <x v="0"/>
  </r>
  <r>
    <n v="27"/>
    <n v="17000"/>
    <x v="0"/>
  </r>
  <r>
    <n v="33"/>
    <n v="51000"/>
    <x v="0"/>
  </r>
  <r>
    <n v="35"/>
    <n v="108000"/>
    <x v="0"/>
  </r>
  <r>
    <n v="30"/>
    <n v="15000"/>
    <x v="0"/>
  </r>
  <r>
    <n v="28"/>
    <n v="84000"/>
    <x v="0"/>
  </r>
  <r>
    <n v="23"/>
    <n v="20000"/>
    <x v="0"/>
  </r>
  <r>
    <n v="25"/>
    <n v="79000"/>
    <x v="0"/>
  </r>
  <r>
    <n v="27"/>
    <n v="54000"/>
    <x v="0"/>
  </r>
  <r>
    <n v="30"/>
    <n v="135000"/>
    <x v="1"/>
  </r>
  <r>
    <n v="31"/>
    <n v="89000"/>
    <x v="0"/>
  </r>
  <r>
    <n v="24"/>
    <n v="32000"/>
    <x v="0"/>
  </r>
  <r>
    <n v="18"/>
    <n v="44000"/>
    <x v="0"/>
  </r>
  <r>
    <n v="29"/>
    <n v="83000"/>
    <x v="0"/>
  </r>
  <r>
    <n v="35"/>
    <n v="23000"/>
    <x v="0"/>
  </r>
  <r>
    <n v="27"/>
    <n v="58000"/>
    <x v="0"/>
  </r>
  <r>
    <n v="24"/>
    <n v="55000"/>
    <x v="0"/>
  </r>
  <r>
    <n v="23"/>
    <n v="48000"/>
    <x v="0"/>
  </r>
  <r>
    <n v="28"/>
    <n v="79000"/>
    <x v="0"/>
  </r>
  <r>
    <n v="22"/>
    <n v="18000"/>
    <x v="0"/>
  </r>
  <r>
    <n v="32"/>
    <n v="117000"/>
    <x v="0"/>
  </r>
  <r>
    <n v="27"/>
    <n v="20000"/>
    <x v="0"/>
  </r>
  <r>
    <n v="25"/>
    <n v="87000"/>
    <x v="0"/>
  </r>
  <r>
    <n v="23"/>
    <n v="66000"/>
    <x v="0"/>
  </r>
  <r>
    <n v="32"/>
    <n v="120000"/>
    <x v="1"/>
  </r>
  <r>
    <n v="59"/>
    <n v="83000"/>
    <x v="0"/>
  </r>
  <r>
    <n v="24"/>
    <n v="58000"/>
    <x v="0"/>
  </r>
  <r>
    <n v="24"/>
    <n v="19000"/>
    <x v="0"/>
  </r>
  <r>
    <n v="23"/>
    <n v="82000"/>
    <x v="0"/>
  </r>
  <r>
    <n v="22"/>
    <n v="63000"/>
    <x v="0"/>
  </r>
  <r>
    <n v="31"/>
    <n v="68000"/>
    <x v="0"/>
  </r>
  <r>
    <n v="25"/>
    <n v="80000"/>
    <x v="0"/>
  </r>
  <r>
    <n v="24"/>
    <n v="27000"/>
    <x v="0"/>
  </r>
  <r>
    <n v="20"/>
    <n v="23000"/>
    <x v="0"/>
  </r>
  <r>
    <n v="33"/>
    <n v="113000"/>
    <x v="0"/>
  </r>
  <r>
    <n v="32"/>
    <n v="18000"/>
    <x v="0"/>
  </r>
  <r>
    <n v="34"/>
    <n v="112000"/>
    <x v="1"/>
  </r>
  <r>
    <n v="18"/>
    <n v="52000"/>
    <x v="0"/>
  </r>
  <r>
    <n v="22"/>
    <n v="27000"/>
    <x v="0"/>
  </r>
  <r>
    <n v="28"/>
    <n v="87000"/>
    <x v="0"/>
  </r>
  <r>
    <n v="26"/>
    <n v="17000"/>
    <x v="0"/>
  </r>
  <r>
    <n v="30"/>
    <n v="80000"/>
    <x v="0"/>
  </r>
  <r>
    <n v="39"/>
    <n v="42000"/>
    <x v="0"/>
  </r>
  <r>
    <n v="20"/>
    <n v="49000"/>
    <x v="0"/>
  </r>
  <r>
    <n v="35"/>
    <n v="88000"/>
    <x v="0"/>
  </r>
  <r>
    <n v="30"/>
    <n v="62000"/>
    <x v="0"/>
  </r>
  <r>
    <n v="31"/>
    <n v="118000"/>
    <x v="1"/>
  </r>
  <r>
    <n v="24"/>
    <n v="55000"/>
    <x v="0"/>
  </r>
  <r>
    <n v="28"/>
    <n v="85000"/>
    <x v="0"/>
  </r>
  <r>
    <n v="26"/>
    <n v="81000"/>
    <x v="0"/>
  </r>
  <r>
    <n v="35"/>
    <n v="50000"/>
    <x v="0"/>
  </r>
  <r>
    <n v="22"/>
    <n v="81000"/>
    <x v="0"/>
  </r>
  <r>
    <n v="30"/>
    <n v="116000"/>
    <x v="0"/>
  </r>
  <r>
    <n v="26"/>
    <n v="15000"/>
    <x v="0"/>
  </r>
  <r>
    <n v="29"/>
    <n v="28000"/>
    <x v="0"/>
  </r>
  <r>
    <n v="29"/>
    <n v="83000"/>
    <x v="0"/>
  </r>
  <r>
    <n v="35"/>
    <n v="44000"/>
    <x v="0"/>
  </r>
  <r>
    <n v="35"/>
    <n v="25000"/>
    <x v="0"/>
  </r>
  <r>
    <n v="28"/>
    <n v="123000"/>
    <x v="1"/>
  </r>
  <r>
    <n v="35"/>
    <n v="73000"/>
    <x v="0"/>
  </r>
  <r>
    <n v="28"/>
    <n v="37000"/>
    <x v="0"/>
  </r>
  <r>
    <n v="27"/>
    <n v="88000"/>
    <x v="0"/>
  </r>
  <r>
    <n v="28"/>
    <n v="59000"/>
    <x v="0"/>
  </r>
  <r>
    <n v="32"/>
    <n v="86000"/>
    <x v="0"/>
  </r>
  <r>
    <n v="33"/>
    <n v="149000"/>
    <x v="1"/>
  </r>
  <r>
    <n v="19"/>
    <n v="21000"/>
    <x v="0"/>
  </r>
  <r>
    <n v="21"/>
    <n v="72000"/>
    <x v="0"/>
  </r>
  <r>
    <n v="26"/>
    <n v="35000"/>
    <x v="0"/>
  </r>
  <r>
    <n v="27"/>
    <n v="89000"/>
    <x v="0"/>
  </r>
  <r>
    <n v="26"/>
    <n v="86000"/>
    <x v="0"/>
  </r>
  <r>
    <n v="38"/>
    <n v="80000"/>
    <x v="0"/>
  </r>
  <r>
    <n v="39"/>
    <n v="71000"/>
    <x v="0"/>
  </r>
  <r>
    <n v="37"/>
    <n v="71000"/>
    <x v="0"/>
  </r>
  <r>
    <n v="38"/>
    <n v="61000"/>
    <x v="0"/>
  </r>
  <r>
    <n v="37"/>
    <n v="55000"/>
    <x v="0"/>
  </r>
  <r>
    <n v="42"/>
    <n v="80000"/>
    <x v="0"/>
  </r>
  <r>
    <n v="40"/>
    <n v="57000"/>
    <x v="0"/>
  </r>
  <r>
    <n v="35"/>
    <n v="75000"/>
    <x v="0"/>
  </r>
  <r>
    <n v="36"/>
    <n v="52000"/>
    <x v="0"/>
  </r>
  <r>
    <n v="40"/>
    <n v="59000"/>
    <x v="0"/>
  </r>
  <r>
    <n v="41"/>
    <n v="59000"/>
    <x v="0"/>
  </r>
  <r>
    <n v="36"/>
    <n v="75000"/>
    <x v="0"/>
  </r>
  <r>
    <n v="37"/>
    <n v="72000"/>
    <x v="0"/>
  </r>
  <r>
    <n v="40"/>
    <n v="75000"/>
    <x v="0"/>
  </r>
  <r>
    <n v="35"/>
    <n v="53000"/>
    <x v="0"/>
  </r>
  <r>
    <n v="41"/>
    <n v="51000"/>
    <x v="0"/>
  </r>
  <r>
    <n v="39"/>
    <n v="61000"/>
    <x v="0"/>
  </r>
  <r>
    <n v="42"/>
    <n v="65000"/>
    <x v="0"/>
  </r>
  <r>
    <n v="26"/>
    <n v="32000"/>
    <x v="0"/>
  </r>
  <r>
    <n v="30"/>
    <n v="17000"/>
    <x v="0"/>
  </r>
  <r>
    <n v="26"/>
    <n v="84000"/>
    <x v="0"/>
  </r>
  <r>
    <n v="31"/>
    <n v="58000"/>
    <x v="0"/>
  </r>
  <r>
    <n v="33"/>
    <n v="31000"/>
    <x v="0"/>
  </r>
  <r>
    <n v="30"/>
    <n v="87000"/>
    <x v="0"/>
  </r>
  <r>
    <n v="21"/>
    <n v="68000"/>
    <x v="0"/>
  </r>
  <r>
    <n v="28"/>
    <n v="55000"/>
    <x v="0"/>
  </r>
  <r>
    <n v="23"/>
    <n v="63000"/>
    <x v="0"/>
  </r>
  <r>
    <n v="20"/>
    <n v="82000"/>
    <x v="0"/>
  </r>
  <r>
    <n v="30"/>
    <n v="107000"/>
    <x v="1"/>
  </r>
  <r>
    <n v="28"/>
    <n v="59000"/>
    <x v="0"/>
  </r>
  <r>
    <n v="19"/>
    <n v="25000"/>
    <x v="0"/>
  </r>
  <r>
    <n v="19"/>
    <n v="85000"/>
    <x v="0"/>
  </r>
  <r>
    <n v="18"/>
    <n v="68000"/>
    <x v="0"/>
  </r>
  <r>
    <n v="35"/>
    <n v="59000"/>
    <x v="0"/>
  </r>
  <r>
    <n v="30"/>
    <n v="89000"/>
    <x v="0"/>
  </r>
  <r>
    <n v="34"/>
    <n v="25000"/>
    <x v="0"/>
  </r>
  <r>
    <n v="24"/>
    <n v="89000"/>
    <x v="0"/>
  </r>
  <r>
    <n v="27"/>
    <n v="96000"/>
    <x v="1"/>
  </r>
  <r>
    <n v="41"/>
    <n v="30000"/>
    <x v="0"/>
  </r>
  <r>
    <n v="29"/>
    <n v="61000"/>
    <x v="0"/>
  </r>
  <r>
    <n v="20"/>
    <n v="74000"/>
    <x v="0"/>
  </r>
  <r>
    <n v="26"/>
    <n v="15000"/>
    <x v="0"/>
  </r>
  <r>
    <n v="41"/>
    <n v="45000"/>
    <x v="0"/>
  </r>
  <r>
    <n v="31"/>
    <n v="76000"/>
    <x v="0"/>
  </r>
  <r>
    <n v="36"/>
    <n v="50000"/>
    <x v="0"/>
  </r>
  <r>
    <n v="40"/>
    <n v="47000"/>
    <x v="0"/>
  </r>
  <r>
    <n v="31"/>
    <n v="15000"/>
    <x v="0"/>
  </r>
  <r>
    <n v="46"/>
    <n v="59000"/>
    <x v="0"/>
  </r>
  <r>
    <n v="29"/>
    <n v="75000"/>
    <x v="0"/>
  </r>
  <r>
    <n v="26"/>
    <n v="30000"/>
    <x v="0"/>
  </r>
  <r>
    <n v="32"/>
    <n v="135000"/>
    <x v="1"/>
  </r>
  <r>
    <n v="32"/>
    <n v="100000"/>
    <x v="1"/>
  </r>
  <r>
    <n v="25"/>
    <n v="90000"/>
    <x v="0"/>
  </r>
  <r>
    <n v="37"/>
    <n v="33000"/>
    <x v="0"/>
  </r>
  <r>
    <n v="35"/>
    <n v="38000"/>
    <x v="0"/>
  </r>
  <r>
    <n v="33"/>
    <n v="69000"/>
    <x v="0"/>
  </r>
  <r>
    <n v="18"/>
    <n v="86000"/>
    <x v="0"/>
  </r>
  <r>
    <n v="22"/>
    <n v="55000"/>
    <x v="0"/>
  </r>
  <r>
    <n v="35"/>
    <n v="71000"/>
    <x v="0"/>
  </r>
  <r>
    <n v="29"/>
    <n v="148000"/>
    <x v="1"/>
  </r>
  <r>
    <n v="29"/>
    <n v="47000"/>
    <x v="0"/>
  </r>
  <r>
    <n v="21"/>
    <n v="88000"/>
    <x v="0"/>
  </r>
  <r>
    <n v="34"/>
    <n v="115000"/>
    <x v="0"/>
  </r>
  <r>
    <n v="26"/>
    <n v="118000"/>
    <x v="0"/>
  </r>
  <r>
    <n v="34"/>
    <n v="43000"/>
    <x v="0"/>
  </r>
  <r>
    <n v="34"/>
    <n v="72000"/>
    <x v="0"/>
  </r>
  <r>
    <n v="23"/>
    <n v="28000"/>
    <x v="0"/>
  </r>
  <r>
    <n v="35"/>
    <n v="47000"/>
    <x v="0"/>
  </r>
  <r>
    <n v="25"/>
    <n v="22000"/>
    <x v="0"/>
  </r>
  <r>
    <n v="24"/>
    <n v="23000"/>
    <x v="0"/>
  </r>
  <r>
    <n v="31"/>
    <n v="34000"/>
    <x v="0"/>
  </r>
  <r>
    <n v="26"/>
    <n v="16000"/>
    <x v="0"/>
  </r>
  <r>
    <n v="31"/>
    <n v="71000"/>
    <x v="0"/>
  </r>
  <r>
    <n v="32"/>
    <n v="117000"/>
    <x v="1"/>
  </r>
  <r>
    <n v="33"/>
    <n v="43000"/>
    <x v="0"/>
  </r>
  <r>
    <n v="33"/>
    <n v="60000"/>
    <x v="0"/>
  </r>
  <r>
    <n v="31"/>
    <n v="66000"/>
    <x v="0"/>
  </r>
  <r>
    <n v="20"/>
    <n v="82000"/>
    <x v="0"/>
  </r>
  <r>
    <n v="33"/>
    <n v="41000"/>
    <x v="0"/>
  </r>
  <r>
    <n v="35"/>
    <n v="72000"/>
    <x v="0"/>
  </r>
  <r>
    <n v="28"/>
    <n v="32000"/>
    <x v="0"/>
  </r>
  <r>
    <n v="24"/>
    <n v="84000"/>
    <x v="0"/>
  </r>
  <r>
    <n v="19"/>
    <n v="26000"/>
    <x v="0"/>
  </r>
  <r>
    <n v="29"/>
    <n v="43000"/>
    <x v="0"/>
  </r>
  <r>
    <n v="19"/>
    <n v="70000"/>
    <x v="0"/>
  </r>
  <r>
    <n v="28"/>
    <n v="89000"/>
    <x v="0"/>
  </r>
  <r>
    <n v="34"/>
    <n v="43000"/>
    <x v="0"/>
  </r>
  <r>
    <n v="30"/>
    <n v="79000"/>
    <x v="0"/>
  </r>
  <r>
    <n v="20"/>
    <n v="36000"/>
    <x v="0"/>
  </r>
  <r>
    <n v="26"/>
    <n v="80000"/>
    <x v="0"/>
  </r>
  <r>
    <n v="35"/>
    <n v="22000"/>
    <x v="0"/>
  </r>
  <r>
    <n v="35"/>
    <n v="39000"/>
    <x v="0"/>
  </r>
  <r>
    <n v="49"/>
    <n v="74000"/>
    <x v="0"/>
  </r>
  <r>
    <n v="39"/>
    <n v="134000"/>
    <x v="1"/>
  </r>
  <r>
    <n v="41"/>
    <n v="71000"/>
    <x v="0"/>
  </r>
  <r>
    <n v="58"/>
    <n v="101000"/>
    <x v="1"/>
  </r>
  <r>
    <n v="47"/>
    <n v="47000"/>
    <x v="0"/>
  </r>
  <r>
    <n v="55"/>
    <n v="130000"/>
    <x v="1"/>
  </r>
  <r>
    <n v="52"/>
    <n v="114000"/>
    <x v="0"/>
  </r>
  <r>
    <n v="40"/>
    <n v="142000"/>
    <x v="1"/>
  </r>
  <r>
    <n v="46"/>
    <n v="22000"/>
    <x v="0"/>
  </r>
  <r>
    <n v="48"/>
    <n v="96000"/>
    <x v="1"/>
  </r>
  <r>
    <n v="52"/>
    <n v="150000"/>
    <x v="1"/>
  </r>
  <r>
    <n v="59"/>
    <n v="42000"/>
    <x v="0"/>
  </r>
  <r>
    <n v="35"/>
    <n v="58000"/>
    <x v="0"/>
  </r>
  <r>
    <n v="47"/>
    <n v="43000"/>
    <x v="0"/>
  </r>
  <r>
    <n v="60"/>
    <n v="108000"/>
    <x v="1"/>
  </r>
  <r>
    <n v="49"/>
    <n v="65000"/>
    <x v="0"/>
  </r>
  <r>
    <n v="40"/>
    <n v="78000"/>
    <x v="0"/>
  </r>
  <r>
    <n v="46"/>
    <n v="96000"/>
    <x v="0"/>
  </r>
  <r>
    <n v="59"/>
    <n v="143000"/>
    <x v="1"/>
  </r>
  <r>
    <n v="41"/>
    <n v="80000"/>
    <x v="0"/>
  </r>
  <r>
    <n v="35"/>
    <n v="91000"/>
    <x v="1"/>
  </r>
  <r>
    <n v="37"/>
    <n v="144000"/>
    <x v="1"/>
  </r>
  <r>
    <n v="60"/>
    <n v="102000"/>
    <x v="1"/>
  </r>
  <r>
    <n v="35"/>
    <n v="60000"/>
    <x v="0"/>
  </r>
  <r>
    <n v="37"/>
    <n v="53000"/>
    <x v="0"/>
  </r>
  <r>
    <n v="36"/>
    <n v="126000"/>
    <x v="1"/>
  </r>
  <r>
    <n v="56"/>
    <n v="133000"/>
    <x v="1"/>
  </r>
  <r>
    <n v="40"/>
    <n v="72000"/>
    <x v="0"/>
  </r>
  <r>
    <n v="42"/>
    <n v="80000"/>
    <x v="1"/>
  </r>
  <r>
    <n v="35"/>
    <n v="147000"/>
    <x v="1"/>
  </r>
  <r>
    <n v="39"/>
    <n v="42000"/>
    <x v="0"/>
  </r>
  <r>
    <n v="40"/>
    <n v="107000"/>
    <x v="1"/>
  </r>
  <r>
    <n v="49"/>
    <n v="86000"/>
    <x v="1"/>
  </r>
  <r>
    <n v="38"/>
    <n v="112000"/>
    <x v="0"/>
  </r>
  <r>
    <n v="46"/>
    <n v="79000"/>
    <x v="1"/>
  </r>
  <r>
    <n v="40"/>
    <n v="57000"/>
    <x v="0"/>
  </r>
  <r>
    <n v="37"/>
    <n v="80000"/>
    <x v="0"/>
  </r>
  <r>
    <n v="46"/>
    <n v="82000"/>
    <x v="0"/>
  </r>
  <r>
    <n v="53"/>
    <n v="143000"/>
    <x v="1"/>
  </r>
  <r>
    <n v="42"/>
    <n v="149000"/>
    <x v="1"/>
  </r>
  <r>
    <n v="38"/>
    <n v="59000"/>
    <x v="0"/>
  </r>
  <r>
    <n v="50"/>
    <n v="88000"/>
    <x v="1"/>
  </r>
  <r>
    <n v="56"/>
    <n v="104000"/>
    <x v="1"/>
  </r>
  <r>
    <n v="41"/>
    <n v="72000"/>
    <x v="0"/>
  </r>
  <r>
    <n v="51"/>
    <n v="146000"/>
    <x v="1"/>
  </r>
  <r>
    <n v="35"/>
    <n v="50000"/>
    <x v="0"/>
  </r>
  <r>
    <n v="57"/>
    <n v="122000"/>
    <x v="1"/>
  </r>
  <r>
    <n v="41"/>
    <n v="52000"/>
    <x v="0"/>
  </r>
  <r>
    <n v="35"/>
    <n v="97000"/>
    <x v="1"/>
  </r>
  <r>
    <n v="44"/>
    <n v="39000"/>
    <x v="0"/>
  </r>
  <r>
    <n v="37"/>
    <n v="52000"/>
    <x v="0"/>
  </r>
  <r>
    <n v="48"/>
    <n v="134000"/>
    <x v="1"/>
  </r>
  <r>
    <n v="37"/>
    <n v="146000"/>
    <x v="1"/>
  </r>
  <r>
    <n v="50"/>
    <n v="44000"/>
    <x v="0"/>
  </r>
  <r>
    <n v="52"/>
    <n v="90000"/>
    <x v="1"/>
  </r>
  <r>
    <n v="41"/>
    <n v="72000"/>
    <x v="0"/>
  </r>
  <r>
    <n v="40"/>
    <n v="57000"/>
    <x v="0"/>
  </r>
  <r>
    <n v="58"/>
    <n v="95000"/>
    <x v="1"/>
  </r>
  <r>
    <n v="45"/>
    <n v="131000"/>
    <x v="1"/>
  </r>
  <r>
    <n v="35"/>
    <n v="77000"/>
    <x v="0"/>
  </r>
  <r>
    <n v="36"/>
    <n v="144000"/>
    <x v="1"/>
  </r>
  <r>
    <n v="55"/>
    <n v="125000"/>
    <x v="1"/>
  </r>
  <r>
    <n v="35"/>
    <n v="72000"/>
    <x v="0"/>
  </r>
  <r>
    <n v="48"/>
    <n v="90000"/>
    <x v="1"/>
  </r>
  <r>
    <n v="42"/>
    <n v="108000"/>
    <x v="1"/>
  </r>
  <r>
    <n v="40"/>
    <n v="75000"/>
    <x v="0"/>
  </r>
  <r>
    <n v="37"/>
    <n v="74000"/>
    <x v="0"/>
  </r>
  <r>
    <n v="47"/>
    <n v="144000"/>
    <x v="1"/>
  </r>
  <r>
    <n v="40"/>
    <n v="61000"/>
    <x v="0"/>
  </r>
  <r>
    <n v="43"/>
    <n v="133000"/>
    <x v="0"/>
  </r>
  <r>
    <n v="59"/>
    <n v="76000"/>
    <x v="1"/>
  </r>
  <r>
    <n v="60"/>
    <n v="42000"/>
    <x v="1"/>
  </r>
  <r>
    <n v="39"/>
    <n v="106000"/>
    <x v="1"/>
  </r>
  <r>
    <n v="57"/>
    <n v="26000"/>
    <x v="1"/>
  </r>
  <r>
    <n v="57"/>
    <n v="74000"/>
    <x v="1"/>
  </r>
  <r>
    <n v="38"/>
    <n v="71000"/>
    <x v="0"/>
  </r>
  <r>
    <n v="49"/>
    <n v="88000"/>
    <x v="1"/>
  </r>
  <r>
    <n v="52"/>
    <n v="38000"/>
    <x v="1"/>
  </r>
  <r>
    <n v="50"/>
    <n v="36000"/>
    <x v="1"/>
  </r>
  <r>
    <n v="59"/>
    <n v="88000"/>
    <x v="1"/>
  </r>
  <r>
    <n v="35"/>
    <n v="61000"/>
    <x v="0"/>
  </r>
  <r>
    <n v="37"/>
    <n v="70000"/>
    <x v="1"/>
  </r>
  <r>
    <n v="52"/>
    <n v="21000"/>
    <x v="1"/>
  </r>
  <r>
    <n v="48"/>
    <n v="141000"/>
    <x v="0"/>
  </r>
  <r>
    <n v="37"/>
    <n v="93000"/>
    <x v="1"/>
  </r>
  <r>
    <n v="37"/>
    <n v="62000"/>
    <x v="0"/>
  </r>
  <r>
    <n v="48"/>
    <n v="138000"/>
    <x v="1"/>
  </r>
  <r>
    <n v="41"/>
    <n v="79000"/>
    <x v="0"/>
  </r>
  <r>
    <n v="37"/>
    <n v="78000"/>
    <x v="1"/>
  </r>
  <r>
    <n v="39"/>
    <n v="134000"/>
    <x v="1"/>
  </r>
  <r>
    <n v="49"/>
    <n v="89000"/>
    <x v="1"/>
  </r>
  <r>
    <n v="55"/>
    <n v="39000"/>
    <x v="1"/>
  </r>
  <r>
    <n v="37"/>
    <n v="77000"/>
    <x v="0"/>
  </r>
  <r>
    <n v="35"/>
    <n v="57000"/>
    <x v="0"/>
  </r>
  <r>
    <n v="36"/>
    <n v="63000"/>
    <x v="0"/>
  </r>
  <r>
    <n v="42"/>
    <n v="73000"/>
    <x v="1"/>
  </r>
  <r>
    <n v="43"/>
    <n v="112000"/>
    <x v="1"/>
  </r>
  <r>
    <n v="45"/>
    <n v="79000"/>
    <x v="0"/>
  </r>
  <r>
    <n v="46"/>
    <n v="117000"/>
    <x v="1"/>
  </r>
  <r>
    <n v="58"/>
    <n v="38000"/>
    <x v="1"/>
  </r>
  <r>
    <n v="48"/>
    <n v="74000"/>
    <x v="1"/>
  </r>
  <r>
    <n v="37"/>
    <n v="137000"/>
    <x v="1"/>
  </r>
  <r>
    <n v="37"/>
    <n v="79000"/>
    <x v="1"/>
  </r>
  <r>
    <n v="40"/>
    <n v="60000"/>
    <x v="0"/>
  </r>
  <r>
    <n v="42"/>
    <n v="54000"/>
    <x v="0"/>
  </r>
  <r>
    <n v="51"/>
    <n v="134000"/>
    <x v="0"/>
  </r>
  <r>
    <n v="47"/>
    <n v="113000"/>
    <x v="1"/>
  </r>
  <r>
    <n v="36"/>
    <n v="125000"/>
    <x v="1"/>
  </r>
  <r>
    <n v="38"/>
    <n v="50000"/>
    <x v="0"/>
  </r>
  <r>
    <n v="42"/>
    <n v="70000"/>
    <x v="0"/>
  </r>
  <r>
    <n v="39"/>
    <n v="96000"/>
    <x v="1"/>
  </r>
  <r>
    <n v="38"/>
    <n v="50000"/>
    <x v="0"/>
  </r>
  <r>
    <n v="49"/>
    <n v="141000"/>
    <x v="1"/>
  </r>
  <r>
    <n v="39"/>
    <n v="79000"/>
    <x v="0"/>
  </r>
  <r>
    <n v="39"/>
    <n v="75000"/>
    <x v="1"/>
  </r>
  <r>
    <n v="54"/>
    <n v="104000"/>
    <x v="1"/>
  </r>
  <r>
    <n v="35"/>
    <n v="55000"/>
    <x v="0"/>
  </r>
  <r>
    <n v="45"/>
    <n v="32000"/>
    <x v="1"/>
  </r>
  <r>
    <n v="36"/>
    <n v="60000"/>
    <x v="0"/>
  </r>
  <r>
    <n v="52"/>
    <n v="138000"/>
    <x v="1"/>
  </r>
  <r>
    <n v="53"/>
    <n v="82000"/>
    <x v="1"/>
  </r>
  <r>
    <n v="41"/>
    <n v="52000"/>
    <x v="0"/>
  </r>
  <r>
    <n v="48"/>
    <n v="30000"/>
    <x v="1"/>
  </r>
  <r>
    <n v="48"/>
    <n v="131000"/>
    <x v="1"/>
  </r>
  <r>
    <n v="41"/>
    <n v="60000"/>
    <x v="0"/>
  </r>
  <r>
    <n v="41"/>
    <n v="72000"/>
    <x v="0"/>
  </r>
  <r>
    <n v="42"/>
    <n v="75000"/>
    <x v="0"/>
  </r>
  <r>
    <n v="36"/>
    <n v="118000"/>
    <x v="1"/>
  </r>
  <r>
    <n v="47"/>
    <n v="107000"/>
    <x v="1"/>
  </r>
  <r>
    <n v="38"/>
    <n v="51000"/>
    <x v="0"/>
  </r>
  <r>
    <n v="48"/>
    <n v="119000"/>
    <x v="1"/>
  </r>
  <r>
    <n v="42"/>
    <n v="65000"/>
    <x v="0"/>
  </r>
  <r>
    <n v="40"/>
    <n v="65000"/>
    <x v="0"/>
  </r>
  <r>
    <n v="57"/>
    <n v="60000"/>
    <x v="1"/>
  </r>
  <r>
    <n v="36"/>
    <n v="54000"/>
    <x v="0"/>
  </r>
  <r>
    <n v="58"/>
    <n v="144000"/>
    <x v="1"/>
  </r>
  <r>
    <n v="35"/>
    <n v="79000"/>
    <x v="0"/>
  </r>
  <r>
    <n v="38"/>
    <n v="55000"/>
    <x v="0"/>
  </r>
  <r>
    <n v="39"/>
    <n v="122000"/>
    <x v="1"/>
  </r>
  <r>
    <n v="53"/>
    <n v="104000"/>
    <x v="1"/>
  </r>
  <r>
    <n v="35"/>
    <n v="75000"/>
    <x v="0"/>
  </r>
  <r>
    <n v="38"/>
    <n v="65000"/>
    <x v="0"/>
  </r>
  <r>
    <n v="47"/>
    <n v="51000"/>
    <x v="1"/>
  </r>
  <r>
    <n v="47"/>
    <n v="105000"/>
    <x v="1"/>
  </r>
  <r>
    <n v="41"/>
    <n v="63000"/>
    <x v="0"/>
  </r>
  <r>
    <n v="53"/>
    <n v="72000"/>
    <x v="1"/>
  </r>
  <r>
    <n v="54"/>
    <n v="108000"/>
    <x v="1"/>
  </r>
  <r>
    <n v="39"/>
    <n v="77000"/>
    <x v="0"/>
  </r>
  <r>
    <n v="38"/>
    <n v="61000"/>
    <x v="0"/>
  </r>
  <r>
    <n v="38"/>
    <n v="113000"/>
    <x v="1"/>
  </r>
  <r>
    <n v="37"/>
    <n v="75000"/>
    <x v="0"/>
  </r>
  <r>
    <n v="42"/>
    <n v="90000"/>
    <x v="1"/>
  </r>
  <r>
    <n v="37"/>
    <n v="57000"/>
    <x v="0"/>
  </r>
  <r>
    <n v="36"/>
    <n v="99000"/>
    <x v="1"/>
  </r>
  <r>
    <n v="60"/>
    <n v="34000"/>
    <x v="1"/>
  </r>
  <r>
    <n v="54"/>
    <n v="70000"/>
    <x v="1"/>
  </r>
  <r>
    <n v="41"/>
    <n v="72000"/>
    <x v="0"/>
  </r>
  <r>
    <n v="40"/>
    <n v="71000"/>
    <x v="1"/>
  </r>
  <r>
    <n v="42"/>
    <n v="54000"/>
    <x v="0"/>
  </r>
  <r>
    <n v="43"/>
    <n v="129000"/>
    <x v="1"/>
  </r>
  <r>
    <n v="53"/>
    <n v="34000"/>
    <x v="1"/>
  </r>
  <r>
    <n v="47"/>
    <n v="50000"/>
    <x v="1"/>
  </r>
  <r>
    <n v="42"/>
    <n v="79000"/>
    <x v="0"/>
  </r>
  <r>
    <n v="42"/>
    <n v="104000"/>
    <x v="1"/>
  </r>
  <r>
    <n v="59"/>
    <n v="29000"/>
    <x v="1"/>
  </r>
  <r>
    <n v="58"/>
    <n v="47000"/>
    <x v="1"/>
  </r>
  <r>
    <n v="46"/>
    <n v="88000"/>
    <x v="1"/>
  </r>
  <r>
    <n v="38"/>
    <n v="71000"/>
    <x v="0"/>
  </r>
  <r>
    <n v="54"/>
    <n v="26000"/>
    <x v="1"/>
  </r>
  <r>
    <n v="60"/>
    <n v="46000"/>
    <x v="1"/>
  </r>
  <r>
    <n v="60"/>
    <n v="83000"/>
    <x v="1"/>
  </r>
  <r>
    <n v="39"/>
    <n v="73000"/>
    <x v="0"/>
  </r>
  <r>
    <n v="59"/>
    <n v="130000"/>
    <x v="1"/>
  </r>
  <r>
    <n v="37"/>
    <n v="80000"/>
    <x v="0"/>
  </r>
  <r>
    <n v="46"/>
    <n v="32000"/>
    <x v="1"/>
  </r>
  <r>
    <n v="46"/>
    <n v="74000"/>
    <x v="0"/>
  </r>
  <r>
    <n v="42"/>
    <n v="53000"/>
    <x v="0"/>
  </r>
  <r>
    <n v="41"/>
    <n v="87000"/>
    <x v="1"/>
  </r>
  <r>
    <n v="58"/>
    <n v="23000"/>
    <x v="1"/>
  </r>
  <r>
    <n v="42"/>
    <n v="64000"/>
    <x v="0"/>
  </r>
  <r>
    <n v="48"/>
    <n v="33000"/>
    <x v="1"/>
  </r>
  <r>
    <n v="44"/>
    <n v="139000"/>
    <x v="1"/>
  </r>
  <r>
    <n v="49"/>
    <n v="28000"/>
    <x v="1"/>
  </r>
  <r>
    <n v="57"/>
    <n v="33000"/>
    <x v="1"/>
  </r>
  <r>
    <n v="56"/>
    <n v="60000"/>
    <x v="1"/>
  </r>
  <r>
    <n v="49"/>
    <n v="39000"/>
    <x v="1"/>
  </r>
  <r>
    <n v="39"/>
    <n v="71000"/>
    <x v="0"/>
  </r>
  <r>
    <n v="47"/>
    <n v="34000"/>
    <x v="1"/>
  </r>
  <r>
    <n v="48"/>
    <n v="35000"/>
    <x v="1"/>
  </r>
  <r>
    <n v="48"/>
    <n v="33000"/>
    <x v="1"/>
  </r>
  <r>
    <n v="47"/>
    <n v="23000"/>
    <x v="1"/>
  </r>
  <r>
    <n v="45"/>
    <n v="45000"/>
    <x v="1"/>
  </r>
  <r>
    <n v="60"/>
    <n v="42000"/>
    <x v="1"/>
  </r>
  <r>
    <n v="39"/>
    <n v="59000"/>
    <x v="0"/>
  </r>
  <r>
    <n v="46"/>
    <n v="41000"/>
    <x v="1"/>
  </r>
  <r>
    <n v="51"/>
    <n v="23000"/>
    <x v="1"/>
  </r>
  <r>
    <n v="50"/>
    <n v="20000"/>
    <x v="1"/>
  </r>
  <r>
    <n v="36"/>
    <n v="33000"/>
    <x v="0"/>
  </r>
  <r>
    <n v="49"/>
    <n v="36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316FA-A2ED-3249-BD1A-1A59C32D177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3"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Ag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21BC3-34D6-4749-87AE-58E92CD4309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2" firstHeaderRow="0" firstDataRow="1" firstDataCol="1"/>
  <pivotFields count="3"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stimatedSalary" fld="1" subtotal="average" baseField="0" baseItem="0"/>
    <dataField name="StdDev of EstimatedSalary2" fld="1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7708F-5CD6-8343-95A6-D2995C2B7F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"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0" subtotal="average" baseField="0" baseItem="0"/>
    <dataField name="StdDev of Age" fld="0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1CDA-9ED1-034C-9E06-BC810DEAC55C}">
  <dimension ref="A1:C401"/>
  <sheetViews>
    <sheetView tabSelected="1" workbookViewId="0">
      <selection activeCell="B22" sqref="B22"/>
    </sheetView>
  </sheetViews>
  <sheetFormatPr baseColWidth="10" defaultRowHeight="16" x14ac:dyDescent="0.2"/>
  <cols>
    <col min="1" max="1" width="20.83203125" customWidth="1"/>
    <col min="2" max="2" width="16.1640625" customWidth="1"/>
    <col min="3" max="3" width="29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</v>
      </c>
      <c r="B2">
        <v>19000</v>
      </c>
      <c r="C2">
        <v>0</v>
      </c>
    </row>
    <row r="3" spans="1:3" x14ac:dyDescent="0.2">
      <c r="A3">
        <v>35</v>
      </c>
      <c r="B3">
        <v>20000</v>
      </c>
      <c r="C3">
        <v>0</v>
      </c>
    </row>
    <row r="4" spans="1:3" x14ac:dyDescent="0.2">
      <c r="A4">
        <v>26</v>
      </c>
      <c r="B4">
        <v>43000</v>
      </c>
      <c r="C4">
        <v>0</v>
      </c>
    </row>
    <row r="5" spans="1:3" x14ac:dyDescent="0.2">
      <c r="A5">
        <v>27</v>
      </c>
      <c r="B5">
        <v>57000</v>
      </c>
      <c r="C5">
        <v>0</v>
      </c>
    </row>
    <row r="6" spans="1:3" x14ac:dyDescent="0.2">
      <c r="A6">
        <v>19</v>
      </c>
      <c r="B6">
        <v>76000</v>
      </c>
      <c r="C6">
        <v>0</v>
      </c>
    </row>
    <row r="7" spans="1:3" x14ac:dyDescent="0.2">
      <c r="A7">
        <v>27</v>
      </c>
      <c r="B7">
        <v>58000</v>
      </c>
      <c r="C7">
        <v>0</v>
      </c>
    </row>
    <row r="8" spans="1:3" x14ac:dyDescent="0.2">
      <c r="A8">
        <v>27</v>
      </c>
      <c r="B8">
        <v>84000</v>
      </c>
      <c r="C8">
        <v>0</v>
      </c>
    </row>
    <row r="9" spans="1:3" x14ac:dyDescent="0.2">
      <c r="A9">
        <v>32</v>
      </c>
      <c r="B9">
        <v>150000</v>
      </c>
      <c r="C9">
        <v>1</v>
      </c>
    </row>
    <row r="10" spans="1:3" x14ac:dyDescent="0.2">
      <c r="A10">
        <v>25</v>
      </c>
      <c r="B10">
        <v>33000</v>
      </c>
      <c r="C10">
        <v>0</v>
      </c>
    </row>
    <row r="11" spans="1:3" x14ac:dyDescent="0.2">
      <c r="A11">
        <v>35</v>
      </c>
      <c r="B11">
        <v>65000</v>
      </c>
      <c r="C11">
        <v>0</v>
      </c>
    </row>
    <row r="12" spans="1:3" x14ac:dyDescent="0.2">
      <c r="A12">
        <v>26</v>
      </c>
      <c r="B12">
        <v>80000</v>
      </c>
      <c r="C12">
        <v>0</v>
      </c>
    </row>
    <row r="13" spans="1:3" x14ac:dyDescent="0.2">
      <c r="A13">
        <v>26</v>
      </c>
      <c r="B13">
        <v>52000</v>
      </c>
      <c r="C13">
        <v>0</v>
      </c>
    </row>
    <row r="14" spans="1:3" x14ac:dyDescent="0.2">
      <c r="A14">
        <v>20</v>
      </c>
      <c r="B14">
        <v>86000</v>
      </c>
      <c r="C14">
        <v>0</v>
      </c>
    </row>
    <row r="15" spans="1:3" x14ac:dyDescent="0.2">
      <c r="A15">
        <v>32</v>
      </c>
      <c r="B15">
        <v>18000</v>
      </c>
      <c r="C15">
        <v>0</v>
      </c>
    </row>
    <row r="16" spans="1:3" x14ac:dyDescent="0.2">
      <c r="A16">
        <v>18</v>
      </c>
      <c r="B16">
        <v>82000</v>
      </c>
      <c r="C16">
        <v>0</v>
      </c>
    </row>
    <row r="17" spans="1:3" x14ac:dyDescent="0.2">
      <c r="A17">
        <v>29</v>
      </c>
      <c r="B17">
        <v>80000</v>
      </c>
      <c r="C17">
        <v>0</v>
      </c>
    </row>
    <row r="18" spans="1:3" x14ac:dyDescent="0.2">
      <c r="A18">
        <v>47</v>
      </c>
      <c r="B18">
        <v>25000</v>
      </c>
      <c r="C18">
        <v>1</v>
      </c>
    </row>
    <row r="19" spans="1:3" x14ac:dyDescent="0.2">
      <c r="A19">
        <v>45</v>
      </c>
      <c r="B19">
        <v>26000</v>
      </c>
      <c r="C19">
        <v>1</v>
      </c>
    </row>
    <row r="20" spans="1:3" x14ac:dyDescent="0.2">
      <c r="A20">
        <v>46</v>
      </c>
      <c r="B20">
        <v>28000</v>
      </c>
      <c r="C20">
        <v>1</v>
      </c>
    </row>
    <row r="21" spans="1:3" x14ac:dyDescent="0.2">
      <c r="A21">
        <v>48</v>
      </c>
      <c r="B21">
        <v>29000</v>
      </c>
      <c r="C21">
        <v>1</v>
      </c>
    </row>
    <row r="22" spans="1:3" x14ac:dyDescent="0.2">
      <c r="A22">
        <v>45</v>
      </c>
      <c r="B22">
        <v>22000</v>
      </c>
      <c r="C22">
        <v>1</v>
      </c>
    </row>
    <row r="23" spans="1:3" x14ac:dyDescent="0.2">
      <c r="A23">
        <v>47</v>
      </c>
      <c r="B23">
        <v>49000</v>
      </c>
      <c r="C23">
        <v>1</v>
      </c>
    </row>
    <row r="24" spans="1:3" x14ac:dyDescent="0.2">
      <c r="A24">
        <v>48</v>
      </c>
      <c r="B24">
        <v>41000</v>
      </c>
      <c r="C24">
        <v>1</v>
      </c>
    </row>
    <row r="25" spans="1:3" x14ac:dyDescent="0.2">
      <c r="A25">
        <v>45</v>
      </c>
      <c r="B25">
        <v>22000</v>
      </c>
      <c r="C25">
        <v>1</v>
      </c>
    </row>
    <row r="26" spans="1:3" x14ac:dyDescent="0.2">
      <c r="A26">
        <v>46</v>
      </c>
      <c r="B26">
        <v>23000</v>
      </c>
      <c r="C26">
        <v>1</v>
      </c>
    </row>
    <row r="27" spans="1:3" x14ac:dyDescent="0.2">
      <c r="A27">
        <v>47</v>
      </c>
      <c r="B27">
        <v>20000</v>
      </c>
      <c r="C27">
        <v>1</v>
      </c>
    </row>
    <row r="28" spans="1:3" x14ac:dyDescent="0.2">
      <c r="A28">
        <v>49</v>
      </c>
      <c r="B28">
        <v>28000</v>
      </c>
      <c r="C28">
        <v>1</v>
      </c>
    </row>
    <row r="29" spans="1:3" x14ac:dyDescent="0.2">
      <c r="A29">
        <v>47</v>
      </c>
      <c r="B29">
        <v>30000</v>
      </c>
      <c r="C29">
        <v>1</v>
      </c>
    </row>
    <row r="30" spans="1:3" x14ac:dyDescent="0.2">
      <c r="A30">
        <v>29</v>
      </c>
      <c r="B30">
        <v>43000</v>
      </c>
      <c r="C30">
        <v>0</v>
      </c>
    </row>
    <row r="31" spans="1:3" x14ac:dyDescent="0.2">
      <c r="A31">
        <v>31</v>
      </c>
      <c r="B31">
        <v>18000</v>
      </c>
      <c r="C31">
        <v>0</v>
      </c>
    </row>
    <row r="32" spans="1:3" x14ac:dyDescent="0.2">
      <c r="A32">
        <v>31</v>
      </c>
      <c r="B32">
        <v>74000</v>
      </c>
      <c r="C32">
        <v>0</v>
      </c>
    </row>
    <row r="33" spans="1:3" x14ac:dyDescent="0.2">
      <c r="A33">
        <v>27</v>
      </c>
      <c r="B33">
        <v>137000</v>
      </c>
      <c r="C33">
        <v>1</v>
      </c>
    </row>
    <row r="34" spans="1:3" x14ac:dyDescent="0.2">
      <c r="A34">
        <v>21</v>
      </c>
      <c r="B34">
        <v>16000</v>
      </c>
      <c r="C34">
        <v>0</v>
      </c>
    </row>
    <row r="35" spans="1:3" x14ac:dyDescent="0.2">
      <c r="A35">
        <v>28</v>
      </c>
      <c r="B35">
        <v>44000</v>
      </c>
      <c r="C35">
        <v>0</v>
      </c>
    </row>
    <row r="36" spans="1:3" x14ac:dyDescent="0.2">
      <c r="A36">
        <v>27</v>
      </c>
      <c r="B36">
        <v>90000</v>
      </c>
      <c r="C36">
        <v>0</v>
      </c>
    </row>
    <row r="37" spans="1:3" x14ac:dyDescent="0.2">
      <c r="A37">
        <v>35</v>
      </c>
      <c r="B37">
        <v>27000</v>
      </c>
      <c r="C37">
        <v>0</v>
      </c>
    </row>
    <row r="38" spans="1:3" x14ac:dyDescent="0.2">
      <c r="A38">
        <v>33</v>
      </c>
      <c r="B38">
        <v>28000</v>
      </c>
      <c r="C38">
        <v>0</v>
      </c>
    </row>
    <row r="39" spans="1:3" x14ac:dyDescent="0.2">
      <c r="A39">
        <v>30</v>
      </c>
      <c r="B39">
        <v>49000</v>
      </c>
      <c r="C39">
        <v>0</v>
      </c>
    </row>
    <row r="40" spans="1:3" x14ac:dyDescent="0.2">
      <c r="A40">
        <v>26</v>
      </c>
      <c r="B40">
        <v>72000</v>
      </c>
      <c r="C40">
        <v>0</v>
      </c>
    </row>
    <row r="41" spans="1:3" x14ac:dyDescent="0.2">
      <c r="A41">
        <v>27</v>
      </c>
      <c r="B41">
        <v>31000</v>
      </c>
      <c r="C41">
        <v>0</v>
      </c>
    </row>
    <row r="42" spans="1:3" x14ac:dyDescent="0.2">
      <c r="A42">
        <v>27</v>
      </c>
      <c r="B42">
        <v>17000</v>
      </c>
      <c r="C42">
        <v>0</v>
      </c>
    </row>
    <row r="43" spans="1:3" x14ac:dyDescent="0.2">
      <c r="A43">
        <v>33</v>
      </c>
      <c r="B43">
        <v>51000</v>
      </c>
      <c r="C43">
        <v>0</v>
      </c>
    </row>
    <row r="44" spans="1:3" x14ac:dyDescent="0.2">
      <c r="A44">
        <v>35</v>
      </c>
      <c r="B44">
        <v>108000</v>
      </c>
      <c r="C44">
        <v>0</v>
      </c>
    </row>
    <row r="45" spans="1:3" x14ac:dyDescent="0.2">
      <c r="A45">
        <v>30</v>
      </c>
      <c r="B45">
        <v>15000</v>
      </c>
      <c r="C45">
        <v>0</v>
      </c>
    </row>
    <row r="46" spans="1:3" x14ac:dyDescent="0.2">
      <c r="A46">
        <v>28</v>
      </c>
      <c r="B46">
        <v>84000</v>
      </c>
      <c r="C46">
        <v>0</v>
      </c>
    </row>
    <row r="47" spans="1:3" x14ac:dyDescent="0.2">
      <c r="A47">
        <v>23</v>
      </c>
      <c r="B47">
        <v>20000</v>
      </c>
      <c r="C47">
        <v>0</v>
      </c>
    </row>
    <row r="48" spans="1:3" x14ac:dyDescent="0.2">
      <c r="A48">
        <v>25</v>
      </c>
      <c r="B48">
        <v>79000</v>
      </c>
      <c r="C48">
        <v>0</v>
      </c>
    </row>
    <row r="49" spans="1:3" x14ac:dyDescent="0.2">
      <c r="A49">
        <v>27</v>
      </c>
      <c r="B49">
        <v>54000</v>
      </c>
      <c r="C49">
        <v>0</v>
      </c>
    </row>
    <row r="50" spans="1:3" x14ac:dyDescent="0.2">
      <c r="A50">
        <v>30</v>
      </c>
      <c r="B50">
        <v>135000</v>
      </c>
      <c r="C50">
        <v>1</v>
      </c>
    </row>
    <row r="51" spans="1:3" x14ac:dyDescent="0.2">
      <c r="A51">
        <v>31</v>
      </c>
      <c r="B51">
        <v>89000</v>
      </c>
      <c r="C51">
        <v>0</v>
      </c>
    </row>
    <row r="52" spans="1:3" x14ac:dyDescent="0.2">
      <c r="A52">
        <v>24</v>
      </c>
      <c r="B52">
        <v>32000</v>
      </c>
      <c r="C52">
        <v>0</v>
      </c>
    </row>
    <row r="53" spans="1:3" x14ac:dyDescent="0.2">
      <c r="A53">
        <v>18</v>
      </c>
      <c r="B53">
        <v>44000</v>
      </c>
      <c r="C53">
        <v>0</v>
      </c>
    </row>
    <row r="54" spans="1:3" x14ac:dyDescent="0.2">
      <c r="A54">
        <v>29</v>
      </c>
      <c r="B54">
        <v>83000</v>
      </c>
      <c r="C54">
        <v>0</v>
      </c>
    </row>
    <row r="55" spans="1:3" x14ac:dyDescent="0.2">
      <c r="A55">
        <v>35</v>
      </c>
      <c r="B55">
        <v>23000</v>
      </c>
      <c r="C55">
        <v>0</v>
      </c>
    </row>
    <row r="56" spans="1:3" x14ac:dyDescent="0.2">
      <c r="A56">
        <v>27</v>
      </c>
      <c r="B56">
        <v>58000</v>
      </c>
      <c r="C56">
        <v>0</v>
      </c>
    </row>
    <row r="57" spans="1:3" x14ac:dyDescent="0.2">
      <c r="A57">
        <v>24</v>
      </c>
      <c r="B57">
        <v>55000</v>
      </c>
      <c r="C57">
        <v>0</v>
      </c>
    </row>
    <row r="58" spans="1:3" x14ac:dyDescent="0.2">
      <c r="A58">
        <v>23</v>
      </c>
      <c r="B58">
        <v>48000</v>
      </c>
      <c r="C58">
        <v>0</v>
      </c>
    </row>
    <row r="59" spans="1:3" x14ac:dyDescent="0.2">
      <c r="A59">
        <v>28</v>
      </c>
      <c r="B59">
        <v>79000</v>
      </c>
      <c r="C59">
        <v>0</v>
      </c>
    </row>
    <row r="60" spans="1:3" x14ac:dyDescent="0.2">
      <c r="A60">
        <v>22</v>
      </c>
      <c r="B60">
        <v>18000</v>
      </c>
      <c r="C60">
        <v>0</v>
      </c>
    </row>
    <row r="61" spans="1:3" x14ac:dyDescent="0.2">
      <c r="A61">
        <v>32</v>
      </c>
      <c r="B61">
        <v>117000</v>
      </c>
      <c r="C61">
        <v>0</v>
      </c>
    </row>
    <row r="62" spans="1:3" x14ac:dyDescent="0.2">
      <c r="A62">
        <v>27</v>
      </c>
      <c r="B62">
        <v>20000</v>
      </c>
      <c r="C62">
        <v>0</v>
      </c>
    </row>
    <row r="63" spans="1:3" x14ac:dyDescent="0.2">
      <c r="A63">
        <v>25</v>
      </c>
      <c r="B63">
        <v>87000</v>
      </c>
      <c r="C63">
        <v>0</v>
      </c>
    </row>
    <row r="64" spans="1:3" x14ac:dyDescent="0.2">
      <c r="A64">
        <v>23</v>
      </c>
      <c r="B64">
        <v>66000</v>
      </c>
      <c r="C64">
        <v>0</v>
      </c>
    </row>
    <row r="65" spans="1:3" x14ac:dyDescent="0.2">
      <c r="A65">
        <v>32</v>
      </c>
      <c r="B65">
        <v>120000</v>
      </c>
      <c r="C65">
        <v>1</v>
      </c>
    </row>
    <row r="66" spans="1:3" x14ac:dyDescent="0.2">
      <c r="A66">
        <v>59</v>
      </c>
      <c r="B66">
        <v>83000</v>
      </c>
      <c r="C66">
        <v>0</v>
      </c>
    </row>
    <row r="67" spans="1:3" x14ac:dyDescent="0.2">
      <c r="A67">
        <v>24</v>
      </c>
      <c r="B67">
        <v>58000</v>
      </c>
      <c r="C67">
        <v>0</v>
      </c>
    </row>
    <row r="68" spans="1:3" x14ac:dyDescent="0.2">
      <c r="A68">
        <v>24</v>
      </c>
      <c r="B68">
        <v>19000</v>
      </c>
      <c r="C68">
        <v>0</v>
      </c>
    </row>
    <row r="69" spans="1:3" x14ac:dyDescent="0.2">
      <c r="A69">
        <v>23</v>
      </c>
      <c r="B69">
        <v>82000</v>
      </c>
      <c r="C69">
        <v>0</v>
      </c>
    </row>
    <row r="70" spans="1:3" x14ac:dyDescent="0.2">
      <c r="A70">
        <v>22</v>
      </c>
      <c r="B70">
        <v>63000</v>
      </c>
      <c r="C70">
        <v>0</v>
      </c>
    </row>
    <row r="71" spans="1:3" x14ac:dyDescent="0.2">
      <c r="A71">
        <v>31</v>
      </c>
      <c r="B71">
        <v>68000</v>
      </c>
      <c r="C71">
        <v>0</v>
      </c>
    </row>
    <row r="72" spans="1:3" x14ac:dyDescent="0.2">
      <c r="A72">
        <v>25</v>
      </c>
      <c r="B72">
        <v>80000</v>
      </c>
      <c r="C72">
        <v>0</v>
      </c>
    </row>
    <row r="73" spans="1:3" x14ac:dyDescent="0.2">
      <c r="A73">
        <v>24</v>
      </c>
      <c r="B73">
        <v>27000</v>
      </c>
      <c r="C73">
        <v>0</v>
      </c>
    </row>
    <row r="74" spans="1:3" x14ac:dyDescent="0.2">
      <c r="A74">
        <v>20</v>
      </c>
      <c r="B74">
        <v>23000</v>
      </c>
      <c r="C74">
        <v>0</v>
      </c>
    </row>
    <row r="75" spans="1:3" x14ac:dyDescent="0.2">
      <c r="A75">
        <v>33</v>
      </c>
      <c r="B75">
        <v>113000</v>
      </c>
      <c r="C75">
        <v>0</v>
      </c>
    </row>
    <row r="76" spans="1:3" x14ac:dyDescent="0.2">
      <c r="A76">
        <v>32</v>
      </c>
      <c r="B76">
        <v>18000</v>
      </c>
      <c r="C76">
        <v>0</v>
      </c>
    </row>
    <row r="77" spans="1:3" x14ac:dyDescent="0.2">
      <c r="A77">
        <v>34</v>
      </c>
      <c r="B77">
        <v>112000</v>
      </c>
      <c r="C77">
        <v>1</v>
      </c>
    </row>
    <row r="78" spans="1:3" x14ac:dyDescent="0.2">
      <c r="A78">
        <v>18</v>
      </c>
      <c r="B78">
        <v>52000</v>
      </c>
      <c r="C78">
        <v>0</v>
      </c>
    </row>
    <row r="79" spans="1:3" x14ac:dyDescent="0.2">
      <c r="A79">
        <v>22</v>
      </c>
      <c r="B79">
        <v>27000</v>
      </c>
      <c r="C79">
        <v>0</v>
      </c>
    </row>
    <row r="80" spans="1:3" x14ac:dyDescent="0.2">
      <c r="A80">
        <v>28</v>
      </c>
      <c r="B80">
        <v>87000</v>
      </c>
      <c r="C80">
        <v>0</v>
      </c>
    </row>
    <row r="81" spans="1:3" x14ac:dyDescent="0.2">
      <c r="A81">
        <v>26</v>
      </c>
      <c r="B81">
        <v>17000</v>
      </c>
      <c r="C81">
        <v>0</v>
      </c>
    </row>
    <row r="82" spans="1:3" x14ac:dyDescent="0.2">
      <c r="A82">
        <v>30</v>
      </c>
      <c r="B82">
        <v>80000</v>
      </c>
      <c r="C82">
        <v>0</v>
      </c>
    </row>
    <row r="83" spans="1:3" x14ac:dyDescent="0.2">
      <c r="A83">
        <v>39</v>
      </c>
      <c r="B83">
        <v>42000</v>
      </c>
      <c r="C83">
        <v>0</v>
      </c>
    </row>
    <row r="84" spans="1:3" x14ac:dyDescent="0.2">
      <c r="A84">
        <v>20</v>
      </c>
      <c r="B84">
        <v>49000</v>
      </c>
      <c r="C84">
        <v>0</v>
      </c>
    </row>
    <row r="85" spans="1:3" x14ac:dyDescent="0.2">
      <c r="A85">
        <v>35</v>
      </c>
      <c r="B85">
        <v>88000</v>
      </c>
      <c r="C85">
        <v>0</v>
      </c>
    </row>
    <row r="86" spans="1:3" x14ac:dyDescent="0.2">
      <c r="A86">
        <v>30</v>
      </c>
      <c r="B86">
        <v>62000</v>
      </c>
      <c r="C86">
        <v>0</v>
      </c>
    </row>
    <row r="87" spans="1:3" x14ac:dyDescent="0.2">
      <c r="A87">
        <v>31</v>
      </c>
      <c r="B87">
        <v>118000</v>
      </c>
      <c r="C87">
        <v>1</v>
      </c>
    </row>
    <row r="88" spans="1:3" x14ac:dyDescent="0.2">
      <c r="A88">
        <v>24</v>
      </c>
      <c r="B88">
        <v>55000</v>
      </c>
      <c r="C88">
        <v>0</v>
      </c>
    </row>
    <row r="89" spans="1:3" x14ac:dyDescent="0.2">
      <c r="A89">
        <v>28</v>
      </c>
      <c r="B89">
        <v>85000</v>
      </c>
      <c r="C89">
        <v>0</v>
      </c>
    </row>
    <row r="90" spans="1:3" x14ac:dyDescent="0.2">
      <c r="A90">
        <v>26</v>
      </c>
      <c r="B90">
        <v>81000</v>
      </c>
      <c r="C90">
        <v>0</v>
      </c>
    </row>
    <row r="91" spans="1:3" x14ac:dyDescent="0.2">
      <c r="A91">
        <v>35</v>
      </c>
      <c r="B91">
        <v>50000</v>
      </c>
      <c r="C91">
        <v>0</v>
      </c>
    </row>
    <row r="92" spans="1:3" x14ac:dyDescent="0.2">
      <c r="A92">
        <v>22</v>
      </c>
      <c r="B92">
        <v>81000</v>
      </c>
      <c r="C92">
        <v>0</v>
      </c>
    </row>
    <row r="93" spans="1:3" x14ac:dyDescent="0.2">
      <c r="A93">
        <v>30</v>
      </c>
      <c r="B93">
        <v>116000</v>
      </c>
      <c r="C93">
        <v>0</v>
      </c>
    </row>
    <row r="94" spans="1:3" x14ac:dyDescent="0.2">
      <c r="A94">
        <v>26</v>
      </c>
      <c r="B94">
        <v>15000</v>
      </c>
      <c r="C94">
        <v>0</v>
      </c>
    </row>
    <row r="95" spans="1:3" x14ac:dyDescent="0.2">
      <c r="A95">
        <v>29</v>
      </c>
      <c r="B95">
        <v>28000</v>
      </c>
      <c r="C95">
        <v>0</v>
      </c>
    </row>
    <row r="96" spans="1:3" x14ac:dyDescent="0.2">
      <c r="A96">
        <v>29</v>
      </c>
      <c r="B96">
        <v>83000</v>
      </c>
      <c r="C96">
        <v>0</v>
      </c>
    </row>
    <row r="97" spans="1:3" x14ac:dyDescent="0.2">
      <c r="A97">
        <v>35</v>
      </c>
      <c r="B97">
        <v>44000</v>
      </c>
      <c r="C97">
        <v>0</v>
      </c>
    </row>
    <row r="98" spans="1:3" x14ac:dyDescent="0.2">
      <c r="A98">
        <v>35</v>
      </c>
      <c r="B98">
        <v>25000</v>
      </c>
      <c r="C98">
        <v>0</v>
      </c>
    </row>
    <row r="99" spans="1:3" x14ac:dyDescent="0.2">
      <c r="A99">
        <v>28</v>
      </c>
      <c r="B99">
        <v>123000</v>
      </c>
      <c r="C99">
        <v>1</v>
      </c>
    </row>
    <row r="100" spans="1:3" x14ac:dyDescent="0.2">
      <c r="A100">
        <v>35</v>
      </c>
      <c r="B100">
        <v>73000</v>
      </c>
      <c r="C100">
        <v>0</v>
      </c>
    </row>
    <row r="101" spans="1:3" x14ac:dyDescent="0.2">
      <c r="A101">
        <v>28</v>
      </c>
      <c r="B101">
        <v>37000</v>
      </c>
      <c r="C101">
        <v>0</v>
      </c>
    </row>
    <row r="102" spans="1:3" x14ac:dyDescent="0.2">
      <c r="A102">
        <v>27</v>
      </c>
      <c r="B102">
        <v>88000</v>
      </c>
      <c r="C102">
        <v>0</v>
      </c>
    </row>
    <row r="103" spans="1:3" x14ac:dyDescent="0.2">
      <c r="A103">
        <v>28</v>
      </c>
      <c r="B103">
        <v>59000</v>
      </c>
      <c r="C103">
        <v>0</v>
      </c>
    </row>
    <row r="104" spans="1:3" x14ac:dyDescent="0.2">
      <c r="A104">
        <v>32</v>
      </c>
      <c r="B104">
        <v>86000</v>
      </c>
      <c r="C104">
        <v>0</v>
      </c>
    </row>
    <row r="105" spans="1:3" x14ac:dyDescent="0.2">
      <c r="A105">
        <v>33</v>
      </c>
      <c r="B105">
        <v>149000</v>
      </c>
      <c r="C105">
        <v>1</v>
      </c>
    </row>
    <row r="106" spans="1:3" x14ac:dyDescent="0.2">
      <c r="A106">
        <v>19</v>
      </c>
      <c r="B106">
        <v>21000</v>
      </c>
      <c r="C106">
        <v>0</v>
      </c>
    </row>
    <row r="107" spans="1:3" x14ac:dyDescent="0.2">
      <c r="A107">
        <v>21</v>
      </c>
      <c r="B107">
        <v>72000</v>
      </c>
      <c r="C107">
        <v>0</v>
      </c>
    </row>
    <row r="108" spans="1:3" x14ac:dyDescent="0.2">
      <c r="A108">
        <v>26</v>
      </c>
      <c r="B108">
        <v>35000</v>
      </c>
      <c r="C108">
        <v>0</v>
      </c>
    </row>
    <row r="109" spans="1:3" x14ac:dyDescent="0.2">
      <c r="A109">
        <v>27</v>
      </c>
      <c r="B109">
        <v>89000</v>
      </c>
      <c r="C109">
        <v>0</v>
      </c>
    </row>
    <row r="110" spans="1:3" x14ac:dyDescent="0.2">
      <c r="A110">
        <v>26</v>
      </c>
      <c r="B110">
        <v>86000</v>
      </c>
      <c r="C110">
        <v>0</v>
      </c>
    </row>
    <row r="111" spans="1:3" x14ac:dyDescent="0.2">
      <c r="A111">
        <v>38</v>
      </c>
      <c r="B111">
        <v>80000</v>
      </c>
      <c r="C111">
        <v>0</v>
      </c>
    </row>
    <row r="112" spans="1:3" x14ac:dyDescent="0.2">
      <c r="A112">
        <v>39</v>
      </c>
      <c r="B112">
        <v>71000</v>
      </c>
      <c r="C112">
        <v>0</v>
      </c>
    </row>
    <row r="113" spans="1:3" x14ac:dyDescent="0.2">
      <c r="A113">
        <v>37</v>
      </c>
      <c r="B113">
        <v>71000</v>
      </c>
      <c r="C113">
        <v>0</v>
      </c>
    </row>
    <row r="114" spans="1:3" x14ac:dyDescent="0.2">
      <c r="A114">
        <v>38</v>
      </c>
      <c r="B114">
        <v>61000</v>
      </c>
      <c r="C114">
        <v>0</v>
      </c>
    </row>
    <row r="115" spans="1:3" x14ac:dyDescent="0.2">
      <c r="A115">
        <v>37</v>
      </c>
      <c r="B115">
        <v>55000</v>
      </c>
      <c r="C115">
        <v>0</v>
      </c>
    </row>
    <row r="116" spans="1:3" x14ac:dyDescent="0.2">
      <c r="A116">
        <v>42</v>
      </c>
      <c r="B116">
        <v>80000</v>
      </c>
      <c r="C116">
        <v>0</v>
      </c>
    </row>
    <row r="117" spans="1:3" x14ac:dyDescent="0.2">
      <c r="A117">
        <v>40</v>
      </c>
      <c r="B117">
        <v>57000</v>
      </c>
      <c r="C117">
        <v>0</v>
      </c>
    </row>
    <row r="118" spans="1:3" x14ac:dyDescent="0.2">
      <c r="A118">
        <v>35</v>
      </c>
      <c r="B118">
        <v>75000</v>
      </c>
      <c r="C118">
        <v>0</v>
      </c>
    </row>
    <row r="119" spans="1:3" x14ac:dyDescent="0.2">
      <c r="A119">
        <v>36</v>
      </c>
      <c r="B119">
        <v>52000</v>
      </c>
      <c r="C119">
        <v>0</v>
      </c>
    </row>
    <row r="120" spans="1:3" x14ac:dyDescent="0.2">
      <c r="A120">
        <v>40</v>
      </c>
      <c r="B120">
        <v>59000</v>
      </c>
      <c r="C120">
        <v>0</v>
      </c>
    </row>
    <row r="121" spans="1:3" x14ac:dyDescent="0.2">
      <c r="A121">
        <v>41</v>
      </c>
      <c r="B121">
        <v>59000</v>
      </c>
      <c r="C121">
        <v>0</v>
      </c>
    </row>
    <row r="122" spans="1:3" x14ac:dyDescent="0.2">
      <c r="A122">
        <v>36</v>
      </c>
      <c r="B122">
        <v>75000</v>
      </c>
      <c r="C122">
        <v>0</v>
      </c>
    </row>
    <row r="123" spans="1:3" x14ac:dyDescent="0.2">
      <c r="A123">
        <v>37</v>
      </c>
      <c r="B123">
        <v>72000</v>
      </c>
      <c r="C123">
        <v>0</v>
      </c>
    </row>
    <row r="124" spans="1:3" x14ac:dyDescent="0.2">
      <c r="A124">
        <v>40</v>
      </c>
      <c r="B124">
        <v>75000</v>
      </c>
      <c r="C124">
        <v>0</v>
      </c>
    </row>
    <row r="125" spans="1:3" x14ac:dyDescent="0.2">
      <c r="A125">
        <v>35</v>
      </c>
      <c r="B125">
        <v>53000</v>
      </c>
      <c r="C125">
        <v>0</v>
      </c>
    </row>
    <row r="126" spans="1:3" x14ac:dyDescent="0.2">
      <c r="A126">
        <v>41</v>
      </c>
      <c r="B126">
        <v>51000</v>
      </c>
      <c r="C126">
        <v>0</v>
      </c>
    </row>
    <row r="127" spans="1:3" x14ac:dyDescent="0.2">
      <c r="A127">
        <v>39</v>
      </c>
      <c r="B127">
        <v>61000</v>
      </c>
      <c r="C127">
        <v>0</v>
      </c>
    </row>
    <row r="128" spans="1:3" x14ac:dyDescent="0.2">
      <c r="A128">
        <v>42</v>
      </c>
      <c r="B128">
        <v>65000</v>
      </c>
      <c r="C128">
        <v>0</v>
      </c>
    </row>
    <row r="129" spans="1:3" x14ac:dyDescent="0.2">
      <c r="A129">
        <v>26</v>
      </c>
      <c r="B129">
        <v>32000</v>
      </c>
      <c r="C129">
        <v>0</v>
      </c>
    </row>
    <row r="130" spans="1:3" x14ac:dyDescent="0.2">
      <c r="A130">
        <v>30</v>
      </c>
      <c r="B130">
        <v>17000</v>
      </c>
      <c r="C130">
        <v>0</v>
      </c>
    </row>
    <row r="131" spans="1:3" x14ac:dyDescent="0.2">
      <c r="A131">
        <v>26</v>
      </c>
      <c r="B131">
        <v>84000</v>
      </c>
      <c r="C131">
        <v>0</v>
      </c>
    </row>
    <row r="132" spans="1:3" x14ac:dyDescent="0.2">
      <c r="A132">
        <v>31</v>
      </c>
      <c r="B132">
        <v>58000</v>
      </c>
      <c r="C132">
        <v>0</v>
      </c>
    </row>
    <row r="133" spans="1:3" x14ac:dyDescent="0.2">
      <c r="A133">
        <v>33</v>
      </c>
      <c r="B133">
        <v>31000</v>
      </c>
      <c r="C133">
        <v>0</v>
      </c>
    </row>
    <row r="134" spans="1:3" x14ac:dyDescent="0.2">
      <c r="A134">
        <v>30</v>
      </c>
      <c r="B134">
        <v>87000</v>
      </c>
      <c r="C134">
        <v>0</v>
      </c>
    </row>
    <row r="135" spans="1:3" x14ac:dyDescent="0.2">
      <c r="A135">
        <v>21</v>
      </c>
      <c r="B135">
        <v>68000</v>
      </c>
      <c r="C135">
        <v>0</v>
      </c>
    </row>
    <row r="136" spans="1:3" x14ac:dyDescent="0.2">
      <c r="A136">
        <v>28</v>
      </c>
      <c r="B136">
        <v>55000</v>
      </c>
      <c r="C136">
        <v>0</v>
      </c>
    </row>
    <row r="137" spans="1:3" x14ac:dyDescent="0.2">
      <c r="A137">
        <v>23</v>
      </c>
      <c r="B137">
        <v>63000</v>
      </c>
      <c r="C137">
        <v>0</v>
      </c>
    </row>
    <row r="138" spans="1:3" x14ac:dyDescent="0.2">
      <c r="A138">
        <v>20</v>
      </c>
      <c r="B138">
        <v>82000</v>
      </c>
      <c r="C138">
        <v>0</v>
      </c>
    </row>
    <row r="139" spans="1:3" x14ac:dyDescent="0.2">
      <c r="A139">
        <v>30</v>
      </c>
      <c r="B139">
        <v>107000</v>
      </c>
      <c r="C139">
        <v>1</v>
      </c>
    </row>
    <row r="140" spans="1:3" x14ac:dyDescent="0.2">
      <c r="A140">
        <v>28</v>
      </c>
      <c r="B140">
        <v>59000</v>
      </c>
      <c r="C140">
        <v>0</v>
      </c>
    </row>
    <row r="141" spans="1:3" x14ac:dyDescent="0.2">
      <c r="A141">
        <v>19</v>
      </c>
      <c r="B141">
        <v>25000</v>
      </c>
      <c r="C141">
        <v>0</v>
      </c>
    </row>
    <row r="142" spans="1:3" x14ac:dyDescent="0.2">
      <c r="A142">
        <v>19</v>
      </c>
      <c r="B142">
        <v>85000</v>
      </c>
      <c r="C142">
        <v>0</v>
      </c>
    </row>
    <row r="143" spans="1:3" x14ac:dyDescent="0.2">
      <c r="A143">
        <v>18</v>
      </c>
      <c r="B143">
        <v>68000</v>
      </c>
      <c r="C143">
        <v>0</v>
      </c>
    </row>
    <row r="144" spans="1:3" x14ac:dyDescent="0.2">
      <c r="A144">
        <v>35</v>
      </c>
      <c r="B144">
        <v>59000</v>
      </c>
      <c r="C144">
        <v>0</v>
      </c>
    </row>
    <row r="145" spans="1:3" x14ac:dyDescent="0.2">
      <c r="A145">
        <v>30</v>
      </c>
      <c r="B145">
        <v>89000</v>
      </c>
      <c r="C145">
        <v>0</v>
      </c>
    </row>
    <row r="146" spans="1:3" x14ac:dyDescent="0.2">
      <c r="A146">
        <v>34</v>
      </c>
      <c r="B146">
        <v>25000</v>
      </c>
      <c r="C146">
        <v>0</v>
      </c>
    </row>
    <row r="147" spans="1:3" x14ac:dyDescent="0.2">
      <c r="A147">
        <v>24</v>
      </c>
      <c r="B147">
        <v>89000</v>
      </c>
      <c r="C147">
        <v>0</v>
      </c>
    </row>
    <row r="148" spans="1:3" x14ac:dyDescent="0.2">
      <c r="A148">
        <v>27</v>
      </c>
      <c r="B148">
        <v>96000</v>
      </c>
      <c r="C148">
        <v>1</v>
      </c>
    </row>
    <row r="149" spans="1:3" x14ac:dyDescent="0.2">
      <c r="A149">
        <v>41</v>
      </c>
      <c r="B149">
        <v>30000</v>
      </c>
      <c r="C149">
        <v>0</v>
      </c>
    </row>
    <row r="150" spans="1:3" x14ac:dyDescent="0.2">
      <c r="A150">
        <v>29</v>
      </c>
      <c r="B150">
        <v>61000</v>
      </c>
      <c r="C150">
        <v>0</v>
      </c>
    </row>
    <row r="151" spans="1:3" x14ac:dyDescent="0.2">
      <c r="A151">
        <v>20</v>
      </c>
      <c r="B151">
        <v>74000</v>
      </c>
      <c r="C151">
        <v>0</v>
      </c>
    </row>
    <row r="152" spans="1:3" x14ac:dyDescent="0.2">
      <c r="A152">
        <v>26</v>
      </c>
      <c r="B152">
        <v>15000</v>
      </c>
      <c r="C152">
        <v>0</v>
      </c>
    </row>
    <row r="153" spans="1:3" x14ac:dyDescent="0.2">
      <c r="A153">
        <v>41</v>
      </c>
      <c r="B153">
        <v>45000</v>
      </c>
      <c r="C153">
        <v>0</v>
      </c>
    </row>
    <row r="154" spans="1:3" x14ac:dyDescent="0.2">
      <c r="A154">
        <v>31</v>
      </c>
      <c r="B154">
        <v>76000</v>
      </c>
      <c r="C154">
        <v>0</v>
      </c>
    </row>
    <row r="155" spans="1:3" x14ac:dyDescent="0.2">
      <c r="A155">
        <v>36</v>
      </c>
      <c r="B155">
        <v>50000</v>
      </c>
      <c r="C155">
        <v>0</v>
      </c>
    </row>
    <row r="156" spans="1:3" x14ac:dyDescent="0.2">
      <c r="A156">
        <v>40</v>
      </c>
      <c r="B156">
        <v>47000</v>
      </c>
      <c r="C156">
        <v>0</v>
      </c>
    </row>
    <row r="157" spans="1:3" x14ac:dyDescent="0.2">
      <c r="A157">
        <v>31</v>
      </c>
      <c r="B157">
        <v>15000</v>
      </c>
      <c r="C157">
        <v>0</v>
      </c>
    </row>
    <row r="158" spans="1:3" x14ac:dyDescent="0.2">
      <c r="A158">
        <v>46</v>
      </c>
      <c r="B158">
        <v>59000</v>
      </c>
      <c r="C158">
        <v>0</v>
      </c>
    </row>
    <row r="159" spans="1:3" x14ac:dyDescent="0.2">
      <c r="A159">
        <v>29</v>
      </c>
      <c r="B159">
        <v>75000</v>
      </c>
      <c r="C159">
        <v>0</v>
      </c>
    </row>
    <row r="160" spans="1:3" x14ac:dyDescent="0.2">
      <c r="A160">
        <v>26</v>
      </c>
      <c r="B160">
        <v>30000</v>
      </c>
      <c r="C160">
        <v>0</v>
      </c>
    </row>
    <row r="161" spans="1:3" x14ac:dyDescent="0.2">
      <c r="A161">
        <v>32</v>
      </c>
      <c r="B161">
        <v>135000</v>
      </c>
      <c r="C161">
        <v>1</v>
      </c>
    </row>
    <row r="162" spans="1:3" x14ac:dyDescent="0.2">
      <c r="A162">
        <v>32</v>
      </c>
      <c r="B162">
        <v>100000</v>
      </c>
      <c r="C162">
        <v>1</v>
      </c>
    </row>
    <row r="163" spans="1:3" x14ac:dyDescent="0.2">
      <c r="A163">
        <v>25</v>
      </c>
      <c r="B163">
        <v>90000</v>
      </c>
      <c r="C163">
        <v>0</v>
      </c>
    </row>
    <row r="164" spans="1:3" x14ac:dyDescent="0.2">
      <c r="A164">
        <v>37</v>
      </c>
      <c r="B164">
        <v>33000</v>
      </c>
      <c r="C164">
        <v>0</v>
      </c>
    </row>
    <row r="165" spans="1:3" x14ac:dyDescent="0.2">
      <c r="A165">
        <v>35</v>
      </c>
      <c r="B165">
        <v>38000</v>
      </c>
      <c r="C165">
        <v>0</v>
      </c>
    </row>
    <row r="166" spans="1:3" x14ac:dyDescent="0.2">
      <c r="A166">
        <v>33</v>
      </c>
      <c r="B166">
        <v>69000</v>
      </c>
      <c r="C166">
        <v>0</v>
      </c>
    </row>
    <row r="167" spans="1:3" x14ac:dyDescent="0.2">
      <c r="A167">
        <v>18</v>
      </c>
      <c r="B167">
        <v>86000</v>
      </c>
      <c r="C167">
        <v>0</v>
      </c>
    </row>
    <row r="168" spans="1:3" x14ac:dyDescent="0.2">
      <c r="A168">
        <v>22</v>
      </c>
      <c r="B168">
        <v>55000</v>
      </c>
      <c r="C168">
        <v>0</v>
      </c>
    </row>
    <row r="169" spans="1:3" x14ac:dyDescent="0.2">
      <c r="A169">
        <v>35</v>
      </c>
      <c r="B169">
        <v>71000</v>
      </c>
      <c r="C169">
        <v>0</v>
      </c>
    </row>
    <row r="170" spans="1:3" x14ac:dyDescent="0.2">
      <c r="A170">
        <v>29</v>
      </c>
      <c r="B170">
        <v>148000</v>
      </c>
      <c r="C170">
        <v>1</v>
      </c>
    </row>
    <row r="171" spans="1:3" x14ac:dyDescent="0.2">
      <c r="A171">
        <v>29</v>
      </c>
      <c r="B171">
        <v>47000</v>
      </c>
      <c r="C171">
        <v>0</v>
      </c>
    </row>
    <row r="172" spans="1:3" x14ac:dyDescent="0.2">
      <c r="A172">
        <v>21</v>
      </c>
      <c r="B172">
        <v>88000</v>
      </c>
      <c r="C172">
        <v>0</v>
      </c>
    </row>
    <row r="173" spans="1:3" x14ac:dyDescent="0.2">
      <c r="A173">
        <v>34</v>
      </c>
      <c r="B173">
        <v>115000</v>
      </c>
      <c r="C173">
        <v>0</v>
      </c>
    </row>
    <row r="174" spans="1:3" x14ac:dyDescent="0.2">
      <c r="A174">
        <v>26</v>
      </c>
      <c r="B174">
        <v>118000</v>
      </c>
      <c r="C174">
        <v>0</v>
      </c>
    </row>
    <row r="175" spans="1:3" x14ac:dyDescent="0.2">
      <c r="A175">
        <v>34</v>
      </c>
      <c r="B175">
        <v>43000</v>
      </c>
      <c r="C175">
        <v>0</v>
      </c>
    </row>
    <row r="176" spans="1:3" x14ac:dyDescent="0.2">
      <c r="A176">
        <v>34</v>
      </c>
      <c r="B176">
        <v>72000</v>
      </c>
      <c r="C176">
        <v>0</v>
      </c>
    </row>
    <row r="177" spans="1:3" x14ac:dyDescent="0.2">
      <c r="A177">
        <v>23</v>
      </c>
      <c r="B177">
        <v>28000</v>
      </c>
      <c r="C177">
        <v>0</v>
      </c>
    </row>
    <row r="178" spans="1:3" x14ac:dyDescent="0.2">
      <c r="A178">
        <v>35</v>
      </c>
      <c r="B178">
        <v>47000</v>
      </c>
      <c r="C178">
        <v>0</v>
      </c>
    </row>
    <row r="179" spans="1:3" x14ac:dyDescent="0.2">
      <c r="A179">
        <v>25</v>
      </c>
      <c r="B179">
        <v>22000</v>
      </c>
      <c r="C179">
        <v>0</v>
      </c>
    </row>
    <row r="180" spans="1:3" x14ac:dyDescent="0.2">
      <c r="A180">
        <v>24</v>
      </c>
      <c r="B180">
        <v>23000</v>
      </c>
      <c r="C180">
        <v>0</v>
      </c>
    </row>
    <row r="181" spans="1:3" x14ac:dyDescent="0.2">
      <c r="A181">
        <v>31</v>
      </c>
      <c r="B181">
        <v>34000</v>
      </c>
      <c r="C181">
        <v>0</v>
      </c>
    </row>
    <row r="182" spans="1:3" x14ac:dyDescent="0.2">
      <c r="A182">
        <v>26</v>
      </c>
      <c r="B182">
        <v>16000</v>
      </c>
      <c r="C182">
        <v>0</v>
      </c>
    </row>
    <row r="183" spans="1:3" x14ac:dyDescent="0.2">
      <c r="A183">
        <v>31</v>
      </c>
      <c r="B183">
        <v>71000</v>
      </c>
      <c r="C183">
        <v>0</v>
      </c>
    </row>
    <row r="184" spans="1:3" x14ac:dyDescent="0.2">
      <c r="A184">
        <v>32</v>
      </c>
      <c r="B184">
        <v>117000</v>
      </c>
      <c r="C184">
        <v>1</v>
      </c>
    </row>
    <row r="185" spans="1:3" x14ac:dyDescent="0.2">
      <c r="A185">
        <v>33</v>
      </c>
      <c r="B185">
        <v>43000</v>
      </c>
      <c r="C185">
        <v>0</v>
      </c>
    </row>
    <row r="186" spans="1:3" x14ac:dyDescent="0.2">
      <c r="A186">
        <v>33</v>
      </c>
      <c r="B186">
        <v>60000</v>
      </c>
      <c r="C186">
        <v>0</v>
      </c>
    </row>
    <row r="187" spans="1:3" x14ac:dyDescent="0.2">
      <c r="A187">
        <v>31</v>
      </c>
      <c r="B187">
        <v>66000</v>
      </c>
      <c r="C187">
        <v>0</v>
      </c>
    </row>
    <row r="188" spans="1:3" x14ac:dyDescent="0.2">
      <c r="A188">
        <v>20</v>
      </c>
      <c r="B188">
        <v>82000</v>
      </c>
      <c r="C188">
        <v>0</v>
      </c>
    </row>
    <row r="189" spans="1:3" x14ac:dyDescent="0.2">
      <c r="A189">
        <v>33</v>
      </c>
      <c r="B189">
        <v>41000</v>
      </c>
      <c r="C189">
        <v>0</v>
      </c>
    </row>
    <row r="190" spans="1:3" x14ac:dyDescent="0.2">
      <c r="A190">
        <v>35</v>
      </c>
      <c r="B190">
        <v>72000</v>
      </c>
      <c r="C190">
        <v>0</v>
      </c>
    </row>
    <row r="191" spans="1:3" x14ac:dyDescent="0.2">
      <c r="A191">
        <v>28</v>
      </c>
      <c r="B191">
        <v>32000</v>
      </c>
      <c r="C191">
        <v>0</v>
      </c>
    </row>
    <row r="192" spans="1:3" x14ac:dyDescent="0.2">
      <c r="A192">
        <v>24</v>
      </c>
      <c r="B192">
        <v>84000</v>
      </c>
      <c r="C192">
        <v>0</v>
      </c>
    </row>
    <row r="193" spans="1:3" x14ac:dyDescent="0.2">
      <c r="A193">
        <v>19</v>
      </c>
      <c r="B193">
        <v>26000</v>
      </c>
      <c r="C193">
        <v>0</v>
      </c>
    </row>
    <row r="194" spans="1:3" x14ac:dyDescent="0.2">
      <c r="A194">
        <v>29</v>
      </c>
      <c r="B194">
        <v>43000</v>
      </c>
      <c r="C194">
        <v>0</v>
      </c>
    </row>
    <row r="195" spans="1:3" x14ac:dyDescent="0.2">
      <c r="A195">
        <v>19</v>
      </c>
      <c r="B195">
        <v>70000</v>
      </c>
      <c r="C195">
        <v>0</v>
      </c>
    </row>
    <row r="196" spans="1:3" x14ac:dyDescent="0.2">
      <c r="A196">
        <v>28</v>
      </c>
      <c r="B196">
        <v>89000</v>
      </c>
      <c r="C196">
        <v>0</v>
      </c>
    </row>
    <row r="197" spans="1:3" x14ac:dyDescent="0.2">
      <c r="A197">
        <v>34</v>
      </c>
      <c r="B197">
        <v>43000</v>
      </c>
      <c r="C197">
        <v>0</v>
      </c>
    </row>
    <row r="198" spans="1:3" x14ac:dyDescent="0.2">
      <c r="A198">
        <v>30</v>
      </c>
      <c r="B198">
        <v>79000</v>
      </c>
      <c r="C198">
        <v>0</v>
      </c>
    </row>
    <row r="199" spans="1:3" x14ac:dyDescent="0.2">
      <c r="A199">
        <v>20</v>
      </c>
      <c r="B199">
        <v>36000</v>
      </c>
      <c r="C199">
        <v>0</v>
      </c>
    </row>
    <row r="200" spans="1:3" x14ac:dyDescent="0.2">
      <c r="A200">
        <v>26</v>
      </c>
      <c r="B200">
        <v>80000</v>
      </c>
      <c r="C200">
        <v>0</v>
      </c>
    </row>
    <row r="201" spans="1:3" x14ac:dyDescent="0.2">
      <c r="A201">
        <v>35</v>
      </c>
      <c r="B201">
        <v>22000</v>
      </c>
      <c r="C201">
        <v>0</v>
      </c>
    </row>
    <row r="202" spans="1:3" x14ac:dyDescent="0.2">
      <c r="A202">
        <v>35</v>
      </c>
      <c r="B202">
        <v>39000</v>
      </c>
      <c r="C202">
        <v>0</v>
      </c>
    </row>
    <row r="203" spans="1:3" x14ac:dyDescent="0.2">
      <c r="A203">
        <v>49</v>
      </c>
      <c r="B203">
        <v>74000</v>
      </c>
      <c r="C203">
        <v>0</v>
      </c>
    </row>
    <row r="204" spans="1:3" x14ac:dyDescent="0.2">
      <c r="A204">
        <v>39</v>
      </c>
      <c r="B204">
        <v>134000</v>
      </c>
      <c r="C204">
        <v>1</v>
      </c>
    </row>
    <row r="205" spans="1:3" x14ac:dyDescent="0.2">
      <c r="A205">
        <v>41</v>
      </c>
      <c r="B205">
        <v>71000</v>
      </c>
      <c r="C205">
        <v>0</v>
      </c>
    </row>
    <row r="206" spans="1:3" x14ac:dyDescent="0.2">
      <c r="A206">
        <v>58</v>
      </c>
      <c r="B206">
        <v>101000</v>
      </c>
      <c r="C206">
        <v>1</v>
      </c>
    </row>
    <row r="207" spans="1:3" x14ac:dyDescent="0.2">
      <c r="A207">
        <v>47</v>
      </c>
      <c r="B207">
        <v>47000</v>
      </c>
      <c r="C207">
        <v>0</v>
      </c>
    </row>
    <row r="208" spans="1:3" x14ac:dyDescent="0.2">
      <c r="A208">
        <v>55</v>
      </c>
      <c r="B208">
        <v>130000</v>
      </c>
      <c r="C208">
        <v>1</v>
      </c>
    </row>
    <row r="209" spans="1:3" x14ac:dyDescent="0.2">
      <c r="A209">
        <v>52</v>
      </c>
      <c r="B209">
        <v>114000</v>
      </c>
      <c r="C209">
        <v>0</v>
      </c>
    </row>
    <row r="210" spans="1:3" x14ac:dyDescent="0.2">
      <c r="A210">
        <v>40</v>
      </c>
      <c r="B210">
        <v>142000</v>
      </c>
      <c r="C210">
        <v>1</v>
      </c>
    </row>
    <row r="211" spans="1:3" x14ac:dyDescent="0.2">
      <c r="A211">
        <v>46</v>
      </c>
      <c r="B211">
        <v>22000</v>
      </c>
      <c r="C211">
        <v>0</v>
      </c>
    </row>
    <row r="212" spans="1:3" x14ac:dyDescent="0.2">
      <c r="A212">
        <v>48</v>
      </c>
      <c r="B212">
        <v>96000</v>
      </c>
      <c r="C212">
        <v>1</v>
      </c>
    </row>
    <row r="213" spans="1:3" x14ac:dyDescent="0.2">
      <c r="A213">
        <v>52</v>
      </c>
      <c r="B213">
        <v>150000</v>
      </c>
      <c r="C213">
        <v>1</v>
      </c>
    </row>
    <row r="214" spans="1:3" x14ac:dyDescent="0.2">
      <c r="A214">
        <v>59</v>
      </c>
      <c r="B214">
        <v>42000</v>
      </c>
      <c r="C214">
        <v>0</v>
      </c>
    </row>
    <row r="215" spans="1:3" x14ac:dyDescent="0.2">
      <c r="A215">
        <v>35</v>
      </c>
      <c r="B215">
        <v>58000</v>
      </c>
      <c r="C215">
        <v>0</v>
      </c>
    </row>
    <row r="216" spans="1:3" x14ac:dyDescent="0.2">
      <c r="A216">
        <v>47</v>
      </c>
      <c r="B216">
        <v>43000</v>
      </c>
      <c r="C216">
        <v>0</v>
      </c>
    </row>
    <row r="217" spans="1:3" x14ac:dyDescent="0.2">
      <c r="A217">
        <v>60</v>
      </c>
      <c r="B217">
        <v>108000</v>
      </c>
      <c r="C217">
        <v>1</v>
      </c>
    </row>
    <row r="218" spans="1:3" x14ac:dyDescent="0.2">
      <c r="A218">
        <v>49</v>
      </c>
      <c r="B218">
        <v>65000</v>
      </c>
      <c r="C218">
        <v>0</v>
      </c>
    </row>
    <row r="219" spans="1:3" x14ac:dyDescent="0.2">
      <c r="A219">
        <v>40</v>
      </c>
      <c r="B219">
        <v>78000</v>
      </c>
      <c r="C219">
        <v>0</v>
      </c>
    </row>
    <row r="220" spans="1:3" x14ac:dyDescent="0.2">
      <c r="A220">
        <v>46</v>
      </c>
      <c r="B220">
        <v>96000</v>
      </c>
      <c r="C220">
        <v>0</v>
      </c>
    </row>
    <row r="221" spans="1:3" x14ac:dyDescent="0.2">
      <c r="A221">
        <v>59</v>
      </c>
      <c r="B221">
        <v>143000</v>
      </c>
      <c r="C221">
        <v>1</v>
      </c>
    </row>
    <row r="222" spans="1:3" x14ac:dyDescent="0.2">
      <c r="A222">
        <v>41</v>
      </c>
      <c r="B222">
        <v>80000</v>
      </c>
      <c r="C222">
        <v>0</v>
      </c>
    </row>
    <row r="223" spans="1:3" x14ac:dyDescent="0.2">
      <c r="A223">
        <v>35</v>
      </c>
      <c r="B223">
        <v>91000</v>
      </c>
      <c r="C223">
        <v>1</v>
      </c>
    </row>
    <row r="224" spans="1:3" x14ac:dyDescent="0.2">
      <c r="A224">
        <v>37</v>
      </c>
      <c r="B224">
        <v>144000</v>
      </c>
      <c r="C224">
        <v>1</v>
      </c>
    </row>
    <row r="225" spans="1:3" x14ac:dyDescent="0.2">
      <c r="A225">
        <v>60</v>
      </c>
      <c r="B225">
        <v>102000</v>
      </c>
      <c r="C225">
        <v>1</v>
      </c>
    </row>
    <row r="226" spans="1:3" x14ac:dyDescent="0.2">
      <c r="A226">
        <v>35</v>
      </c>
      <c r="B226">
        <v>60000</v>
      </c>
      <c r="C226">
        <v>0</v>
      </c>
    </row>
    <row r="227" spans="1:3" x14ac:dyDescent="0.2">
      <c r="A227">
        <v>37</v>
      </c>
      <c r="B227">
        <v>53000</v>
      </c>
      <c r="C227">
        <v>0</v>
      </c>
    </row>
    <row r="228" spans="1:3" x14ac:dyDescent="0.2">
      <c r="A228">
        <v>36</v>
      </c>
      <c r="B228">
        <v>126000</v>
      </c>
      <c r="C228">
        <v>1</v>
      </c>
    </row>
    <row r="229" spans="1:3" x14ac:dyDescent="0.2">
      <c r="A229">
        <v>56</v>
      </c>
      <c r="B229">
        <v>133000</v>
      </c>
      <c r="C229">
        <v>1</v>
      </c>
    </row>
    <row r="230" spans="1:3" x14ac:dyDescent="0.2">
      <c r="A230">
        <v>40</v>
      </c>
      <c r="B230">
        <v>72000</v>
      </c>
      <c r="C230">
        <v>0</v>
      </c>
    </row>
    <row r="231" spans="1:3" x14ac:dyDescent="0.2">
      <c r="A231">
        <v>42</v>
      </c>
      <c r="B231">
        <v>80000</v>
      </c>
      <c r="C231">
        <v>1</v>
      </c>
    </row>
    <row r="232" spans="1:3" x14ac:dyDescent="0.2">
      <c r="A232">
        <v>35</v>
      </c>
      <c r="B232">
        <v>147000</v>
      </c>
      <c r="C232">
        <v>1</v>
      </c>
    </row>
    <row r="233" spans="1:3" x14ac:dyDescent="0.2">
      <c r="A233">
        <v>39</v>
      </c>
      <c r="B233">
        <v>42000</v>
      </c>
      <c r="C233">
        <v>0</v>
      </c>
    </row>
    <row r="234" spans="1:3" x14ac:dyDescent="0.2">
      <c r="A234">
        <v>40</v>
      </c>
      <c r="B234">
        <v>107000</v>
      </c>
      <c r="C234">
        <v>1</v>
      </c>
    </row>
    <row r="235" spans="1:3" x14ac:dyDescent="0.2">
      <c r="A235">
        <v>49</v>
      </c>
      <c r="B235">
        <v>86000</v>
      </c>
      <c r="C235">
        <v>1</v>
      </c>
    </row>
    <row r="236" spans="1:3" x14ac:dyDescent="0.2">
      <c r="A236">
        <v>38</v>
      </c>
      <c r="B236">
        <v>112000</v>
      </c>
      <c r="C236">
        <v>0</v>
      </c>
    </row>
    <row r="237" spans="1:3" x14ac:dyDescent="0.2">
      <c r="A237">
        <v>46</v>
      </c>
      <c r="B237">
        <v>79000</v>
      </c>
      <c r="C237">
        <v>1</v>
      </c>
    </row>
    <row r="238" spans="1:3" x14ac:dyDescent="0.2">
      <c r="A238">
        <v>40</v>
      </c>
      <c r="B238">
        <v>57000</v>
      </c>
      <c r="C238">
        <v>0</v>
      </c>
    </row>
    <row r="239" spans="1:3" x14ac:dyDescent="0.2">
      <c r="A239">
        <v>37</v>
      </c>
      <c r="B239">
        <v>80000</v>
      </c>
      <c r="C239">
        <v>0</v>
      </c>
    </row>
    <row r="240" spans="1:3" x14ac:dyDescent="0.2">
      <c r="A240">
        <v>46</v>
      </c>
      <c r="B240">
        <v>82000</v>
      </c>
      <c r="C240">
        <v>0</v>
      </c>
    </row>
    <row r="241" spans="1:3" x14ac:dyDescent="0.2">
      <c r="A241">
        <v>53</v>
      </c>
      <c r="B241">
        <v>143000</v>
      </c>
      <c r="C241">
        <v>1</v>
      </c>
    </row>
    <row r="242" spans="1:3" x14ac:dyDescent="0.2">
      <c r="A242">
        <v>42</v>
      </c>
      <c r="B242">
        <v>149000</v>
      </c>
      <c r="C242">
        <v>1</v>
      </c>
    </row>
    <row r="243" spans="1:3" x14ac:dyDescent="0.2">
      <c r="A243">
        <v>38</v>
      </c>
      <c r="B243">
        <v>59000</v>
      </c>
      <c r="C243">
        <v>0</v>
      </c>
    </row>
    <row r="244" spans="1:3" x14ac:dyDescent="0.2">
      <c r="A244">
        <v>50</v>
      </c>
      <c r="B244">
        <v>88000</v>
      </c>
      <c r="C244">
        <v>1</v>
      </c>
    </row>
    <row r="245" spans="1:3" x14ac:dyDescent="0.2">
      <c r="A245">
        <v>56</v>
      </c>
      <c r="B245">
        <v>104000</v>
      </c>
      <c r="C245">
        <v>1</v>
      </c>
    </row>
    <row r="246" spans="1:3" x14ac:dyDescent="0.2">
      <c r="A246">
        <v>41</v>
      </c>
      <c r="B246">
        <v>72000</v>
      </c>
      <c r="C246">
        <v>0</v>
      </c>
    </row>
    <row r="247" spans="1:3" x14ac:dyDescent="0.2">
      <c r="A247">
        <v>51</v>
      </c>
      <c r="B247">
        <v>146000</v>
      </c>
      <c r="C247">
        <v>1</v>
      </c>
    </row>
    <row r="248" spans="1:3" x14ac:dyDescent="0.2">
      <c r="A248">
        <v>35</v>
      </c>
      <c r="B248">
        <v>50000</v>
      </c>
      <c r="C248">
        <v>0</v>
      </c>
    </row>
    <row r="249" spans="1:3" x14ac:dyDescent="0.2">
      <c r="A249">
        <v>57</v>
      </c>
      <c r="B249">
        <v>122000</v>
      </c>
      <c r="C249">
        <v>1</v>
      </c>
    </row>
    <row r="250" spans="1:3" x14ac:dyDescent="0.2">
      <c r="A250">
        <v>41</v>
      </c>
      <c r="B250">
        <v>52000</v>
      </c>
      <c r="C250">
        <v>0</v>
      </c>
    </row>
    <row r="251" spans="1:3" x14ac:dyDescent="0.2">
      <c r="A251">
        <v>35</v>
      </c>
      <c r="B251">
        <v>97000</v>
      </c>
      <c r="C251">
        <v>1</v>
      </c>
    </row>
    <row r="252" spans="1:3" x14ac:dyDescent="0.2">
      <c r="A252">
        <v>44</v>
      </c>
      <c r="B252">
        <v>39000</v>
      </c>
      <c r="C252">
        <v>0</v>
      </c>
    </row>
    <row r="253" spans="1:3" x14ac:dyDescent="0.2">
      <c r="A253">
        <v>37</v>
      </c>
      <c r="B253">
        <v>52000</v>
      </c>
      <c r="C253">
        <v>0</v>
      </c>
    </row>
    <row r="254" spans="1:3" x14ac:dyDescent="0.2">
      <c r="A254">
        <v>48</v>
      </c>
      <c r="B254">
        <v>134000</v>
      </c>
      <c r="C254">
        <v>1</v>
      </c>
    </row>
    <row r="255" spans="1:3" x14ac:dyDescent="0.2">
      <c r="A255">
        <v>37</v>
      </c>
      <c r="B255">
        <v>146000</v>
      </c>
      <c r="C255">
        <v>1</v>
      </c>
    </row>
    <row r="256" spans="1:3" x14ac:dyDescent="0.2">
      <c r="A256">
        <v>50</v>
      </c>
      <c r="B256">
        <v>44000</v>
      </c>
      <c r="C256">
        <v>0</v>
      </c>
    </row>
    <row r="257" spans="1:3" x14ac:dyDescent="0.2">
      <c r="A257">
        <v>52</v>
      </c>
      <c r="B257">
        <v>90000</v>
      </c>
      <c r="C257">
        <v>1</v>
      </c>
    </row>
    <row r="258" spans="1:3" x14ac:dyDescent="0.2">
      <c r="A258">
        <v>41</v>
      </c>
      <c r="B258">
        <v>72000</v>
      </c>
      <c r="C258">
        <v>0</v>
      </c>
    </row>
    <row r="259" spans="1:3" x14ac:dyDescent="0.2">
      <c r="A259">
        <v>40</v>
      </c>
      <c r="B259">
        <v>57000</v>
      </c>
      <c r="C259">
        <v>0</v>
      </c>
    </row>
    <row r="260" spans="1:3" x14ac:dyDescent="0.2">
      <c r="A260">
        <v>58</v>
      </c>
      <c r="B260">
        <v>95000</v>
      </c>
      <c r="C260">
        <v>1</v>
      </c>
    </row>
    <row r="261" spans="1:3" x14ac:dyDescent="0.2">
      <c r="A261">
        <v>45</v>
      </c>
      <c r="B261">
        <v>131000</v>
      </c>
      <c r="C261">
        <v>1</v>
      </c>
    </row>
    <row r="262" spans="1:3" x14ac:dyDescent="0.2">
      <c r="A262">
        <v>35</v>
      </c>
      <c r="B262">
        <v>77000</v>
      </c>
      <c r="C262">
        <v>0</v>
      </c>
    </row>
    <row r="263" spans="1:3" x14ac:dyDescent="0.2">
      <c r="A263">
        <v>36</v>
      </c>
      <c r="B263">
        <v>144000</v>
      </c>
      <c r="C263">
        <v>1</v>
      </c>
    </row>
    <row r="264" spans="1:3" x14ac:dyDescent="0.2">
      <c r="A264">
        <v>55</v>
      </c>
      <c r="B264">
        <v>125000</v>
      </c>
      <c r="C264">
        <v>1</v>
      </c>
    </row>
    <row r="265" spans="1:3" x14ac:dyDescent="0.2">
      <c r="A265">
        <v>35</v>
      </c>
      <c r="B265">
        <v>72000</v>
      </c>
      <c r="C265">
        <v>0</v>
      </c>
    </row>
    <row r="266" spans="1:3" x14ac:dyDescent="0.2">
      <c r="A266">
        <v>48</v>
      </c>
      <c r="B266">
        <v>90000</v>
      </c>
      <c r="C266">
        <v>1</v>
      </c>
    </row>
    <row r="267" spans="1:3" x14ac:dyDescent="0.2">
      <c r="A267">
        <v>42</v>
      </c>
      <c r="B267">
        <v>108000</v>
      </c>
      <c r="C267">
        <v>1</v>
      </c>
    </row>
    <row r="268" spans="1:3" x14ac:dyDescent="0.2">
      <c r="A268">
        <v>40</v>
      </c>
      <c r="B268">
        <v>75000</v>
      </c>
      <c r="C268">
        <v>0</v>
      </c>
    </row>
    <row r="269" spans="1:3" x14ac:dyDescent="0.2">
      <c r="A269">
        <v>37</v>
      </c>
      <c r="B269">
        <v>74000</v>
      </c>
      <c r="C269">
        <v>0</v>
      </c>
    </row>
    <row r="270" spans="1:3" x14ac:dyDescent="0.2">
      <c r="A270">
        <v>47</v>
      </c>
      <c r="B270">
        <v>144000</v>
      </c>
      <c r="C270">
        <v>1</v>
      </c>
    </row>
    <row r="271" spans="1:3" x14ac:dyDescent="0.2">
      <c r="A271">
        <v>40</v>
      </c>
      <c r="B271">
        <v>61000</v>
      </c>
      <c r="C271">
        <v>0</v>
      </c>
    </row>
    <row r="272" spans="1:3" x14ac:dyDescent="0.2">
      <c r="A272">
        <v>43</v>
      </c>
      <c r="B272">
        <v>133000</v>
      </c>
      <c r="C272">
        <v>0</v>
      </c>
    </row>
    <row r="273" spans="1:3" x14ac:dyDescent="0.2">
      <c r="A273">
        <v>59</v>
      </c>
      <c r="B273">
        <v>76000</v>
      </c>
      <c r="C273">
        <v>1</v>
      </c>
    </row>
    <row r="274" spans="1:3" x14ac:dyDescent="0.2">
      <c r="A274">
        <v>60</v>
      </c>
      <c r="B274">
        <v>42000</v>
      </c>
      <c r="C274">
        <v>1</v>
      </c>
    </row>
    <row r="275" spans="1:3" x14ac:dyDescent="0.2">
      <c r="A275">
        <v>39</v>
      </c>
      <c r="B275">
        <v>106000</v>
      </c>
      <c r="C275">
        <v>1</v>
      </c>
    </row>
    <row r="276" spans="1:3" x14ac:dyDescent="0.2">
      <c r="A276">
        <v>57</v>
      </c>
      <c r="B276">
        <v>26000</v>
      </c>
      <c r="C276">
        <v>1</v>
      </c>
    </row>
    <row r="277" spans="1:3" x14ac:dyDescent="0.2">
      <c r="A277">
        <v>57</v>
      </c>
      <c r="B277">
        <v>74000</v>
      </c>
      <c r="C277">
        <v>1</v>
      </c>
    </row>
    <row r="278" spans="1:3" x14ac:dyDescent="0.2">
      <c r="A278">
        <v>38</v>
      </c>
      <c r="B278">
        <v>71000</v>
      </c>
      <c r="C278">
        <v>0</v>
      </c>
    </row>
    <row r="279" spans="1:3" x14ac:dyDescent="0.2">
      <c r="A279">
        <v>49</v>
      </c>
      <c r="B279">
        <v>88000</v>
      </c>
      <c r="C279">
        <v>1</v>
      </c>
    </row>
    <row r="280" spans="1:3" x14ac:dyDescent="0.2">
      <c r="A280">
        <v>52</v>
      </c>
      <c r="B280">
        <v>38000</v>
      </c>
      <c r="C280">
        <v>1</v>
      </c>
    </row>
    <row r="281" spans="1:3" x14ac:dyDescent="0.2">
      <c r="A281">
        <v>50</v>
      </c>
      <c r="B281">
        <v>36000</v>
      </c>
      <c r="C281">
        <v>1</v>
      </c>
    </row>
    <row r="282" spans="1:3" x14ac:dyDescent="0.2">
      <c r="A282">
        <v>59</v>
      </c>
      <c r="B282">
        <v>88000</v>
      </c>
      <c r="C282">
        <v>1</v>
      </c>
    </row>
    <row r="283" spans="1:3" x14ac:dyDescent="0.2">
      <c r="A283">
        <v>35</v>
      </c>
      <c r="B283">
        <v>61000</v>
      </c>
      <c r="C283">
        <v>0</v>
      </c>
    </row>
    <row r="284" spans="1:3" x14ac:dyDescent="0.2">
      <c r="A284">
        <v>37</v>
      </c>
      <c r="B284">
        <v>70000</v>
      </c>
      <c r="C284">
        <v>1</v>
      </c>
    </row>
    <row r="285" spans="1:3" x14ac:dyDescent="0.2">
      <c r="A285">
        <v>52</v>
      </c>
      <c r="B285">
        <v>21000</v>
      </c>
      <c r="C285">
        <v>1</v>
      </c>
    </row>
    <row r="286" spans="1:3" x14ac:dyDescent="0.2">
      <c r="A286">
        <v>48</v>
      </c>
      <c r="B286">
        <v>141000</v>
      </c>
      <c r="C286">
        <v>0</v>
      </c>
    </row>
    <row r="287" spans="1:3" x14ac:dyDescent="0.2">
      <c r="A287">
        <v>37</v>
      </c>
      <c r="B287">
        <v>93000</v>
      </c>
      <c r="C287">
        <v>1</v>
      </c>
    </row>
    <row r="288" spans="1:3" x14ac:dyDescent="0.2">
      <c r="A288">
        <v>37</v>
      </c>
      <c r="B288">
        <v>62000</v>
      </c>
      <c r="C288">
        <v>0</v>
      </c>
    </row>
    <row r="289" spans="1:3" x14ac:dyDescent="0.2">
      <c r="A289">
        <v>48</v>
      </c>
      <c r="B289">
        <v>138000</v>
      </c>
      <c r="C289">
        <v>1</v>
      </c>
    </row>
    <row r="290" spans="1:3" x14ac:dyDescent="0.2">
      <c r="A290">
        <v>41</v>
      </c>
      <c r="B290">
        <v>79000</v>
      </c>
      <c r="C290">
        <v>0</v>
      </c>
    </row>
    <row r="291" spans="1:3" x14ac:dyDescent="0.2">
      <c r="A291">
        <v>37</v>
      </c>
      <c r="B291">
        <v>78000</v>
      </c>
      <c r="C291">
        <v>1</v>
      </c>
    </row>
    <row r="292" spans="1:3" x14ac:dyDescent="0.2">
      <c r="A292">
        <v>39</v>
      </c>
      <c r="B292">
        <v>134000</v>
      </c>
      <c r="C292">
        <v>1</v>
      </c>
    </row>
    <row r="293" spans="1:3" x14ac:dyDescent="0.2">
      <c r="A293">
        <v>49</v>
      </c>
      <c r="B293">
        <v>89000</v>
      </c>
      <c r="C293">
        <v>1</v>
      </c>
    </row>
    <row r="294" spans="1:3" x14ac:dyDescent="0.2">
      <c r="A294">
        <v>55</v>
      </c>
      <c r="B294">
        <v>39000</v>
      </c>
      <c r="C294">
        <v>1</v>
      </c>
    </row>
    <row r="295" spans="1:3" x14ac:dyDescent="0.2">
      <c r="A295">
        <v>37</v>
      </c>
      <c r="B295">
        <v>77000</v>
      </c>
      <c r="C295">
        <v>0</v>
      </c>
    </row>
    <row r="296" spans="1:3" x14ac:dyDescent="0.2">
      <c r="A296">
        <v>35</v>
      </c>
      <c r="B296">
        <v>57000</v>
      </c>
      <c r="C296">
        <v>0</v>
      </c>
    </row>
    <row r="297" spans="1:3" x14ac:dyDescent="0.2">
      <c r="A297">
        <v>36</v>
      </c>
      <c r="B297">
        <v>63000</v>
      </c>
      <c r="C297">
        <v>0</v>
      </c>
    </row>
    <row r="298" spans="1:3" x14ac:dyDescent="0.2">
      <c r="A298">
        <v>42</v>
      </c>
      <c r="B298">
        <v>73000</v>
      </c>
      <c r="C298">
        <v>1</v>
      </c>
    </row>
    <row r="299" spans="1:3" x14ac:dyDescent="0.2">
      <c r="A299">
        <v>43</v>
      </c>
      <c r="B299">
        <v>112000</v>
      </c>
      <c r="C299">
        <v>1</v>
      </c>
    </row>
    <row r="300" spans="1:3" x14ac:dyDescent="0.2">
      <c r="A300">
        <v>45</v>
      </c>
      <c r="B300">
        <v>79000</v>
      </c>
      <c r="C300">
        <v>0</v>
      </c>
    </row>
    <row r="301" spans="1:3" x14ac:dyDescent="0.2">
      <c r="A301">
        <v>46</v>
      </c>
      <c r="B301">
        <v>117000</v>
      </c>
      <c r="C301">
        <v>1</v>
      </c>
    </row>
    <row r="302" spans="1:3" x14ac:dyDescent="0.2">
      <c r="A302">
        <v>58</v>
      </c>
      <c r="B302">
        <v>38000</v>
      </c>
      <c r="C302">
        <v>1</v>
      </c>
    </row>
    <row r="303" spans="1:3" x14ac:dyDescent="0.2">
      <c r="A303">
        <v>48</v>
      </c>
      <c r="B303">
        <v>74000</v>
      </c>
      <c r="C303">
        <v>1</v>
      </c>
    </row>
    <row r="304" spans="1:3" x14ac:dyDescent="0.2">
      <c r="A304">
        <v>37</v>
      </c>
      <c r="B304">
        <v>137000</v>
      </c>
      <c r="C304">
        <v>1</v>
      </c>
    </row>
    <row r="305" spans="1:3" x14ac:dyDescent="0.2">
      <c r="A305">
        <v>37</v>
      </c>
      <c r="B305">
        <v>79000</v>
      </c>
      <c r="C305">
        <v>1</v>
      </c>
    </row>
    <row r="306" spans="1:3" x14ac:dyDescent="0.2">
      <c r="A306">
        <v>40</v>
      </c>
      <c r="B306">
        <v>60000</v>
      </c>
      <c r="C306">
        <v>0</v>
      </c>
    </row>
    <row r="307" spans="1:3" x14ac:dyDescent="0.2">
      <c r="A307">
        <v>42</v>
      </c>
      <c r="B307">
        <v>54000</v>
      </c>
      <c r="C307">
        <v>0</v>
      </c>
    </row>
    <row r="308" spans="1:3" x14ac:dyDescent="0.2">
      <c r="A308">
        <v>51</v>
      </c>
      <c r="B308">
        <v>134000</v>
      </c>
      <c r="C308">
        <v>0</v>
      </c>
    </row>
    <row r="309" spans="1:3" x14ac:dyDescent="0.2">
      <c r="A309">
        <v>47</v>
      </c>
      <c r="B309">
        <v>113000</v>
      </c>
      <c r="C309">
        <v>1</v>
      </c>
    </row>
    <row r="310" spans="1:3" x14ac:dyDescent="0.2">
      <c r="A310">
        <v>36</v>
      </c>
      <c r="B310">
        <v>125000</v>
      </c>
      <c r="C310">
        <v>1</v>
      </c>
    </row>
    <row r="311" spans="1:3" x14ac:dyDescent="0.2">
      <c r="A311">
        <v>38</v>
      </c>
      <c r="B311">
        <v>50000</v>
      </c>
      <c r="C311">
        <v>0</v>
      </c>
    </row>
    <row r="312" spans="1:3" x14ac:dyDescent="0.2">
      <c r="A312">
        <v>42</v>
      </c>
      <c r="B312">
        <v>70000</v>
      </c>
      <c r="C312">
        <v>0</v>
      </c>
    </row>
    <row r="313" spans="1:3" x14ac:dyDescent="0.2">
      <c r="A313">
        <v>39</v>
      </c>
      <c r="B313">
        <v>96000</v>
      </c>
      <c r="C313">
        <v>1</v>
      </c>
    </row>
    <row r="314" spans="1:3" x14ac:dyDescent="0.2">
      <c r="A314">
        <v>38</v>
      </c>
      <c r="B314">
        <v>50000</v>
      </c>
      <c r="C314">
        <v>0</v>
      </c>
    </row>
    <row r="315" spans="1:3" x14ac:dyDescent="0.2">
      <c r="A315">
        <v>49</v>
      </c>
      <c r="B315">
        <v>141000</v>
      </c>
      <c r="C315">
        <v>1</v>
      </c>
    </row>
    <row r="316" spans="1:3" x14ac:dyDescent="0.2">
      <c r="A316">
        <v>39</v>
      </c>
      <c r="B316">
        <v>79000</v>
      </c>
      <c r="C316">
        <v>0</v>
      </c>
    </row>
    <row r="317" spans="1:3" x14ac:dyDescent="0.2">
      <c r="A317">
        <v>39</v>
      </c>
      <c r="B317">
        <v>75000</v>
      </c>
      <c r="C317">
        <v>1</v>
      </c>
    </row>
    <row r="318" spans="1:3" x14ac:dyDescent="0.2">
      <c r="A318">
        <v>54</v>
      </c>
      <c r="B318">
        <v>104000</v>
      </c>
      <c r="C318">
        <v>1</v>
      </c>
    </row>
    <row r="319" spans="1:3" x14ac:dyDescent="0.2">
      <c r="A319">
        <v>35</v>
      </c>
      <c r="B319">
        <v>55000</v>
      </c>
      <c r="C319">
        <v>0</v>
      </c>
    </row>
    <row r="320" spans="1:3" x14ac:dyDescent="0.2">
      <c r="A320">
        <v>45</v>
      </c>
      <c r="B320">
        <v>32000</v>
      </c>
      <c r="C320">
        <v>1</v>
      </c>
    </row>
    <row r="321" spans="1:3" x14ac:dyDescent="0.2">
      <c r="A321">
        <v>36</v>
      </c>
      <c r="B321">
        <v>60000</v>
      </c>
      <c r="C321">
        <v>0</v>
      </c>
    </row>
    <row r="322" spans="1:3" x14ac:dyDescent="0.2">
      <c r="A322">
        <v>52</v>
      </c>
      <c r="B322">
        <v>138000</v>
      </c>
      <c r="C322">
        <v>1</v>
      </c>
    </row>
    <row r="323" spans="1:3" x14ac:dyDescent="0.2">
      <c r="A323">
        <v>53</v>
      </c>
      <c r="B323">
        <v>82000</v>
      </c>
      <c r="C323">
        <v>1</v>
      </c>
    </row>
    <row r="324" spans="1:3" x14ac:dyDescent="0.2">
      <c r="A324">
        <v>41</v>
      </c>
      <c r="B324">
        <v>52000</v>
      </c>
      <c r="C324">
        <v>0</v>
      </c>
    </row>
    <row r="325" spans="1:3" x14ac:dyDescent="0.2">
      <c r="A325">
        <v>48</v>
      </c>
      <c r="B325">
        <v>30000</v>
      </c>
      <c r="C325">
        <v>1</v>
      </c>
    </row>
    <row r="326" spans="1:3" x14ac:dyDescent="0.2">
      <c r="A326">
        <v>48</v>
      </c>
      <c r="B326">
        <v>131000</v>
      </c>
      <c r="C326">
        <v>1</v>
      </c>
    </row>
    <row r="327" spans="1:3" x14ac:dyDescent="0.2">
      <c r="A327">
        <v>41</v>
      </c>
      <c r="B327">
        <v>60000</v>
      </c>
      <c r="C327">
        <v>0</v>
      </c>
    </row>
    <row r="328" spans="1:3" x14ac:dyDescent="0.2">
      <c r="A328">
        <v>41</v>
      </c>
      <c r="B328">
        <v>72000</v>
      </c>
      <c r="C328">
        <v>0</v>
      </c>
    </row>
    <row r="329" spans="1:3" x14ac:dyDescent="0.2">
      <c r="A329">
        <v>42</v>
      </c>
      <c r="B329">
        <v>75000</v>
      </c>
      <c r="C329">
        <v>0</v>
      </c>
    </row>
    <row r="330" spans="1:3" x14ac:dyDescent="0.2">
      <c r="A330">
        <v>36</v>
      </c>
      <c r="B330">
        <v>118000</v>
      </c>
      <c r="C330">
        <v>1</v>
      </c>
    </row>
    <row r="331" spans="1:3" x14ac:dyDescent="0.2">
      <c r="A331">
        <v>47</v>
      </c>
      <c r="B331">
        <v>107000</v>
      </c>
      <c r="C331">
        <v>1</v>
      </c>
    </row>
    <row r="332" spans="1:3" x14ac:dyDescent="0.2">
      <c r="A332">
        <v>38</v>
      </c>
      <c r="B332">
        <v>51000</v>
      </c>
      <c r="C332">
        <v>0</v>
      </c>
    </row>
    <row r="333" spans="1:3" x14ac:dyDescent="0.2">
      <c r="A333">
        <v>48</v>
      </c>
      <c r="B333">
        <v>119000</v>
      </c>
      <c r="C333">
        <v>1</v>
      </c>
    </row>
    <row r="334" spans="1:3" x14ac:dyDescent="0.2">
      <c r="A334">
        <v>42</v>
      </c>
      <c r="B334">
        <v>65000</v>
      </c>
      <c r="C334">
        <v>0</v>
      </c>
    </row>
    <row r="335" spans="1:3" x14ac:dyDescent="0.2">
      <c r="A335">
        <v>40</v>
      </c>
      <c r="B335">
        <v>65000</v>
      </c>
      <c r="C335">
        <v>0</v>
      </c>
    </row>
    <row r="336" spans="1:3" x14ac:dyDescent="0.2">
      <c r="A336">
        <v>57</v>
      </c>
      <c r="B336">
        <v>60000</v>
      </c>
      <c r="C336">
        <v>1</v>
      </c>
    </row>
    <row r="337" spans="1:3" x14ac:dyDescent="0.2">
      <c r="A337">
        <v>36</v>
      </c>
      <c r="B337">
        <v>54000</v>
      </c>
      <c r="C337">
        <v>0</v>
      </c>
    </row>
    <row r="338" spans="1:3" x14ac:dyDescent="0.2">
      <c r="A338">
        <v>58</v>
      </c>
      <c r="B338">
        <v>144000</v>
      </c>
      <c r="C338">
        <v>1</v>
      </c>
    </row>
    <row r="339" spans="1:3" x14ac:dyDescent="0.2">
      <c r="A339">
        <v>35</v>
      </c>
      <c r="B339">
        <v>79000</v>
      </c>
      <c r="C339">
        <v>0</v>
      </c>
    </row>
    <row r="340" spans="1:3" x14ac:dyDescent="0.2">
      <c r="A340">
        <v>38</v>
      </c>
      <c r="B340">
        <v>55000</v>
      </c>
      <c r="C340">
        <v>0</v>
      </c>
    </row>
    <row r="341" spans="1:3" x14ac:dyDescent="0.2">
      <c r="A341">
        <v>39</v>
      </c>
      <c r="B341">
        <v>122000</v>
      </c>
      <c r="C341">
        <v>1</v>
      </c>
    </row>
    <row r="342" spans="1:3" x14ac:dyDescent="0.2">
      <c r="A342">
        <v>53</v>
      </c>
      <c r="B342">
        <v>104000</v>
      </c>
      <c r="C342">
        <v>1</v>
      </c>
    </row>
    <row r="343" spans="1:3" x14ac:dyDescent="0.2">
      <c r="A343">
        <v>35</v>
      </c>
      <c r="B343">
        <v>75000</v>
      </c>
      <c r="C343">
        <v>0</v>
      </c>
    </row>
    <row r="344" spans="1:3" x14ac:dyDescent="0.2">
      <c r="A344">
        <v>38</v>
      </c>
      <c r="B344">
        <v>65000</v>
      </c>
      <c r="C344">
        <v>0</v>
      </c>
    </row>
    <row r="345" spans="1:3" x14ac:dyDescent="0.2">
      <c r="A345">
        <v>47</v>
      </c>
      <c r="B345">
        <v>51000</v>
      </c>
      <c r="C345">
        <v>1</v>
      </c>
    </row>
    <row r="346" spans="1:3" x14ac:dyDescent="0.2">
      <c r="A346">
        <v>47</v>
      </c>
      <c r="B346">
        <v>105000</v>
      </c>
      <c r="C346">
        <v>1</v>
      </c>
    </row>
    <row r="347" spans="1:3" x14ac:dyDescent="0.2">
      <c r="A347">
        <v>41</v>
      </c>
      <c r="B347">
        <v>63000</v>
      </c>
      <c r="C347">
        <v>0</v>
      </c>
    </row>
    <row r="348" spans="1:3" x14ac:dyDescent="0.2">
      <c r="A348">
        <v>53</v>
      </c>
      <c r="B348">
        <v>72000</v>
      </c>
      <c r="C348">
        <v>1</v>
      </c>
    </row>
    <row r="349" spans="1:3" x14ac:dyDescent="0.2">
      <c r="A349">
        <v>54</v>
      </c>
      <c r="B349">
        <v>108000</v>
      </c>
      <c r="C349">
        <v>1</v>
      </c>
    </row>
    <row r="350" spans="1:3" x14ac:dyDescent="0.2">
      <c r="A350">
        <v>39</v>
      </c>
      <c r="B350">
        <v>77000</v>
      </c>
      <c r="C350">
        <v>0</v>
      </c>
    </row>
    <row r="351" spans="1:3" x14ac:dyDescent="0.2">
      <c r="A351">
        <v>38</v>
      </c>
      <c r="B351">
        <v>61000</v>
      </c>
      <c r="C351">
        <v>0</v>
      </c>
    </row>
    <row r="352" spans="1:3" x14ac:dyDescent="0.2">
      <c r="A352">
        <v>38</v>
      </c>
      <c r="B352">
        <v>113000</v>
      </c>
      <c r="C352">
        <v>1</v>
      </c>
    </row>
    <row r="353" spans="1:3" x14ac:dyDescent="0.2">
      <c r="A353">
        <v>37</v>
      </c>
      <c r="B353">
        <v>75000</v>
      </c>
      <c r="C353">
        <v>0</v>
      </c>
    </row>
    <row r="354" spans="1:3" x14ac:dyDescent="0.2">
      <c r="A354">
        <v>42</v>
      </c>
      <c r="B354">
        <v>90000</v>
      </c>
      <c r="C354">
        <v>1</v>
      </c>
    </row>
    <row r="355" spans="1:3" x14ac:dyDescent="0.2">
      <c r="A355">
        <v>37</v>
      </c>
      <c r="B355">
        <v>57000</v>
      </c>
      <c r="C355">
        <v>0</v>
      </c>
    </row>
    <row r="356" spans="1:3" x14ac:dyDescent="0.2">
      <c r="A356">
        <v>36</v>
      </c>
      <c r="B356">
        <v>99000</v>
      </c>
      <c r="C356">
        <v>1</v>
      </c>
    </row>
    <row r="357" spans="1:3" x14ac:dyDescent="0.2">
      <c r="A357">
        <v>60</v>
      </c>
      <c r="B357">
        <v>34000</v>
      </c>
      <c r="C357">
        <v>1</v>
      </c>
    </row>
    <row r="358" spans="1:3" x14ac:dyDescent="0.2">
      <c r="A358">
        <v>54</v>
      </c>
      <c r="B358">
        <v>70000</v>
      </c>
      <c r="C358">
        <v>1</v>
      </c>
    </row>
    <row r="359" spans="1:3" x14ac:dyDescent="0.2">
      <c r="A359">
        <v>41</v>
      </c>
      <c r="B359">
        <v>72000</v>
      </c>
      <c r="C359">
        <v>0</v>
      </c>
    </row>
    <row r="360" spans="1:3" x14ac:dyDescent="0.2">
      <c r="A360">
        <v>40</v>
      </c>
      <c r="B360">
        <v>71000</v>
      </c>
      <c r="C360">
        <v>1</v>
      </c>
    </row>
    <row r="361" spans="1:3" x14ac:dyDescent="0.2">
      <c r="A361">
        <v>42</v>
      </c>
      <c r="B361">
        <v>54000</v>
      </c>
      <c r="C361">
        <v>0</v>
      </c>
    </row>
    <row r="362" spans="1:3" x14ac:dyDescent="0.2">
      <c r="A362">
        <v>43</v>
      </c>
      <c r="B362">
        <v>129000</v>
      </c>
      <c r="C362">
        <v>1</v>
      </c>
    </row>
    <row r="363" spans="1:3" x14ac:dyDescent="0.2">
      <c r="A363">
        <v>53</v>
      </c>
      <c r="B363">
        <v>34000</v>
      </c>
      <c r="C363">
        <v>1</v>
      </c>
    </row>
    <row r="364" spans="1:3" x14ac:dyDescent="0.2">
      <c r="A364">
        <v>47</v>
      </c>
      <c r="B364">
        <v>50000</v>
      </c>
      <c r="C364">
        <v>1</v>
      </c>
    </row>
    <row r="365" spans="1:3" x14ac:dyDescent="0.2">
      <c r="A365">
        <v>42</v>
      </c>
      <c r="B365">
        <v>79000</v>
      </c>
      <c r="C365">
        <v>0</v>
      </c>
    </row>
    <row r="366" spans="1:3" x14ac:dyDescent="0.2">
      <c r="A366">
        <v>42</v>
      </c>
      <c r="B366">
        <v>104000</v>
      </c>
      <c r="C366">
        <v>1</v>
      </c>
    </row>
    <row r="367" spans="1:3" x14ac:dyDescent="0.2">
      <c r="A367">
        <v>59</v>
      </c>
      <c r="B367">
        <v>29000</v>
      </c>
      <c r="C367">
        <v>1</v>
      </c>
    </row>
    <row r="368" spans="1:3" x14ac:dyDescent="0.2">
      <c r="A368">
        <v>58</v>
      </c>
      <c r="B368">
        <v>47000</v>
      </c>
      <c r="C368">
        <v>1</v>
      </c>
    </row>
    <row r="369" spans="1:3" x14ac:dyDescent="0.2">
      <c r="A369">
        <v>46</v>
      </c>
      <c r="B369">
        <v>88000</v>
      </c>
      <c r="C369">
        <v>1</v>
      </c>
    </row>
    <row r="370" spans="1:3" x14ac:dyDescent="0.2">
      <c r="A370">
        <v>38</v>
      </c>
      <c r="B370">
        <v>71000</v>
      </c>
      <c r="C370">
        <v>0</v>
      </c>
    </row>
    <row r="371" spans="1:3" x14ac:dyDescent="0.2">
      <c r="A371">
        <v>54</v>
      </c>
      <c r="B371">
        <v>26000</v>
      </c>
      <c r="C371">
        <v>1</v>
      </c>
    </row>
    <row r="372" spans="1:3" x14ac:dyDescent="0.2">
      <c r="A372">
        <v>60</v>
      </c>
      <c r="B372">
        <v>46000</v>
      </c>
      <c r="C372">
        <v>1</v>
      </c>
    </row>
    <row r="373" spans="1:3" x14ac:dyDescent="0.2">
      <c r="A373">
        <v>60</v>
      </c>
      <c r="B373">
        <v>83000</v>
      </c>
      <c r="C373">
        <v>1</v>
      </c>
    </row>
    <row r="374" spans="1:3" x14ac:dyDescent="0.2">
      <c r="A374">
        <v>39</v>
      </c>
      <c r="B374">
        <v>73000</v>
      </c>
      <c r="C374">
        <v>0</v>
      </c>
    </row>
    <row r="375" spans="1:3" x14ac:dyDescent="0.2">
      <c r="A375">
        <v>59</v>
      </c>
      <c r="B375">
        <v>130000</v>
      </c>
      <c r="C375">
        <v>1</v>
      </c>
    </row>
    <row r="376" spans="1:3" x14ac:dyDescent="0.2">
      <c r="A376">
        <v>37</v>
      </c>
      <c r="B376">
        <v>80000</v>
      </c>
      <c r="C376">
        <v>0</v>
      </c>
    </row>
    <row r="377" spans="1:3" x14ac:dyDescent="0.2">
      <c r="A377">
        <v>46</v>
      </c>
      <c r="B377">
        <v>32000</v>
      </c>
      <c r="C377">
        <v>1</v>
      </c>
    </row>
    <row r="378" spans="1:3" x14ac:dyDescent="0.2">
      <c r="A378">
        <v>46</v>
      </c>
      <c r="B378">
        <v>74000</v>
      </c>
      <c r="C378">
        <v>0</v>
      </c>
    </row>
    <row r="379" spans="1:3" x14ac:dyDescent="0.2">
      <c r="A379">
        <v>42</v>
      </c>
      <c r="B379">
        <v>53000</v>
      </c>
      <c r="C379">
        <v>0</v>
      </c>
    </row>
    <row r="380" spans="1:3" x14ac:dyDescent="0.2">
      <c r="A380">
        <v>41</v>
      </c>
      <c r="B380">
        <v>87000</v>
      </c>
      <c r="C380">
        <v>1</v>
      </c>
    </row>
    <row r="381" spans="1:3" x14ac:dyDescent="0.2">
      <c r="A381">
        <v>58</v>
      </c>
      <c r="B381">
        <v>23000</v>
      </c>
      <c r="C381">
        <v>1</v>
      </c>
    </row>
    <row r="382" spans="1:3" x14ac:dyDescent="0.2">
      <c r="A382">
        <v>42</v>
      </c>
      <c r="B382">
        <v>64000</v>
      </c>
      <c r="C382">
        <v>0</v>
      </c>
    </row>
    <row r="383" spans="1:3" x14ac:dyDescent="0.2">
      <c r="A383">
        <v>48</v>
      </c>
      <c r="B383">
        <v>33000</v>
      </c>
      <c r="C383">
        <v>1</v>
      </c>
    </row>
    <row r="384" spans="1:3" x14ac:dyDescent="0.2">
      <c r="A384">
        <v>44</v>
      </c>
      <c r="B384">
        <v>139000</v>
      </c>
      <c r="C384">
        <v>1</v>
      </c>
    </row>
    <row r="385" spans="1:3" x14ac:dyDescent="0.2">
      <c r="A385">
        <v>49</v>
      </c>
      <c r="B385">
        <v>28000</v>
      </c>
      <c r="C385">
        <v>1</v>
      </c>
    </row>
    <row r="386" spans="1:3" x14ac:dyDescent="0.2">
      <c r="A386">
        <v>57</v>
      </c>
      <c r="B386">
        <v>33000</v>
      </c>
      <c r="C386">
        <v>1</v>
      </c>
    </row>
    <row r="387" spans="1:3" x14ac:dyDescent="0.2">
      <c r="A387">
        <v>56</v>
      </c>
      <c r="B387">
        <v>60000</v>
      </c>
      <c r="C387">
        <v>1</v>
      </c>
    </row>
    <row r="388" spans="1:3" x14ac:dyDescent="0.2">
      <c r="A388">
        <v>49</v>
      </c>
      <c r="B388">
        <v>39000</v>
      </c>
      <c r="C388">
        <v>1</v>
      </c>
    </row>
    <row r="389" spans="1:3" x14ac:dyDescent="0.2">
      <c r="A389">
        <v>39</v>
      </c>
      <c r="B389">
        <v>71000</v>
      </c>
      <c r="C389">
        <v>0</v>
      </c>
    </row>
    <row r="390" spans="1:3" x14ac:dyDescent="0.2">
      <c r="A390">
        <v>47</v>
      </c>
      <c r="B390">
        <v>34000</v>
      </c>
      <c r="C390">
        <v>1</v>
      </c>
    </row>
    <row r="391" spans="1:3" x14ac:dyDescent="0.2">
      <c r="A391">
        <v>48</v>
      </c>
      <c r="B391">
        <v>35000</v>
      </c>
      <c r="C391">
        <v>1</v>
      </c>
    </row>
    <row r="392" spans="1:3" x14ac:dyDescent="0.2">
      <c r="A392">
        <v>48</v>
      </c>
      <c r="B392">
        <v>33000</v>
      </c>
      <c r="C392">
        <v>1</v>
      </c>
    </row>
    <row r="393" spans="1:3" x14ac:dyDescent="0.2">
      <c r="A393">
        <v>47</v>
      </c>
      <c r="B393">
        <v>23000</v>
      </c>
      <c r="C393">
        <v>1</v>
      </c>
    </row>
    <row r="394" spans="1:3" x14ac:dyDescent="0.2">
      <c r="A394">
        <v>45</v>
      </c>
      <c r="B394">
        <v>45000</v>
      </c>
      <c r="C394">
        <v>1</v>
      </c>
    </row>
    <row r="395" spans="1:3" x14ac:dyDescent="0.2">
      <c r="A395">
        <v>60</v>
      </c>
      <c r="B395">
        <v>42000</v>
      </c>
      <c r="C395">
        <v>1</v>
      </c>
    </row>
    <row r="396" spans="1:3" x14ac:dyDescent="0.2">
      <c r="A396">
        <v>39</v>
      </c>
      <c r="B396">
        <v>59000</v>
      </c>
      <c r="C396">
        <v>0</v>
      </c>
    </row>
    <row r="397" spans="1:3" x14ac:dyDescent="0.2">
      <c r="A397">
        <v>46</v>
      </c>
      <c r="B397">
        <v>41000</v>
      </c>
      <c r="C397">
        <v>1</v>
      </c>
    </row>
    <row r="398" spans="1:3" x14ac:dyDescent="0.2">
      <c r="A398">
        <v>51</v>
      </c>
      <c r="B398">
        <v>23000</v>
      </c>
      <c r="C398">
        <v>1</v>
      </c>
    </row>
    <row r="399" spans="1:3" x14ac:dyDescent="0.2">
      <c r="A399">
        <v>50</v>
      </c>
      <c r="B399">
        <v>20000</v>
      </c>
      <c r="C399">
        <v>1</v>
      </c>
    </row>
    <row r="400" spans="1:3" x14ac:dyDescent="0.2">
      <c r="A400">
        <v>36</v>
      </c>
      <c r="B400">
        <v>33000</v>
      </c>
      <c r="C400">
        <v>0</v>
      </c>
    </row>
    <row r="401" spans="1:3" x14ac:dyDescent="0.2">
      <c r="A401">
        <v>49</v>
      </c>
      <c r="B401">
        <v>36000</v>
      </c>
      <c r="C4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CA1D-8062-9C4E-8C01-4BB395C43944}">
  <dimension ref="A3:J31"/>
  <sheetViews>
    <sheetView workbookViewId="0">
      <selection activeCell="C32" sqref="C32"/>
    </sheetView>
  </sheetViews>
  <sheetFormatPr baseColWidth="10" defaultRowHeight="16" x14ac:dyDescent="0.2"/>
  <cols>
    <col min="1" max="1" width="13" bestFit="1" customWidth="1"/>
    <col min="2" max="2" width="24" bestFit="1" customWidth="1"/>
    <col min="3" max="3" width="24.1640625" bestFit="1" customWidth="1"/>
    <col min="4" max="4" width="13.33203125" customWidth="1"/>
    <col min="5" max="5" width="13.83203125" customWidth="1"/>
    <col min="6" max="6" width="12.1640625" bestFit="1" customWidth="1"/>
    <col min="7" max="7" width="13" bestFit="1" customWidth="1"/>
    <col min="8" max="8" width="24.1640625" customWidth="1"/>
  </cols>
  <sheetData>
    <row r="3" spans="1:8" x14ac:dyDescent="0.2">
      <c r="A3" s="1" t="s">
        <v>3</v>
      </c>
      <c r="B3" t="s">
        <v>5</v>
      </c>
      <c r="C3" t="s">
        <v>6</v>
      </c>
      <c r="G3" s="1" t="s">
        <v>3</v>
      </c>
      <c r="H3" t="s">
        <v>13</v>
      </c>
    </row>
    <row r="4" spans="1:8" x14ac:dyDescent="0.2">
      <c r="A4" s="2">
        <v>0</v>
      </c>
      <c r="B4" s="3">
        <v>32.793774319066145</v>
      </c>
      <c r="C4" s="3">
        <v>7.985844419314347</v>
      </c>
      <c r="G4" s="2">
        <v>0</v>
      </c>
      <c r="H4" s="3">
        <v>257</v>
      </c>
    </row>
    <row r="5" spans="1:8" x14ac:dyDescent="0.2">
      <c r="A5" s="2">
        <v>1</v>
      </c>
      <c r="B5" s="3">
        <v>46.391608391608393</v>
      </c>
      <c r="C5" s="3">
        <v>8.6121719995473889</v>
      </c>
      <c r="G5" s="2">
        <v>1</v>
      </c>
      <c r="H5" s="3">
        <v>143</v>
      </c>
    </row>
    <row r="6" spans="1:8" x14ac:dyDescent="0.2">
      <c r="A6" s="2" t="s">
        <v>4</v>
      </c>
      <c r="B6" s="3">
        <v>37.655000000000001</v>
      </c>
      <c r="C6" s="3">
        <v>10.482876597307916</v>
      </c>
      <c r="G6" s="2" t="s">
        <v>4</v>
      </c>
      <c r="H6" s="3">
        <v>400</v>
      </c>
    </row>
    <row r="9" spans="1:8" x14ac:dyDescent="0.2">
      <c r="A9" s="1" t="s">
        <v>3</v>
      </c>
      <c r="B9" t="s">
        <v>7</v>
      </c>
      <c r="C9" t="s">
        <v>8</v>
      </c>
    </row>
    <row r="10" spans="1:8" x14ac:dyDescent="0.2">
      <c r="A10" s="2">
        <v>0</v>
      </c>
      <c r="B10" s="3">
        <v>60544.747081712063</v>
      </c>
      <c r="C10" s="3">
        <v>24351.570102145131</v>
      </c>
    </row>
    <row r="11" spans="1:8" x14ac:dyDescent="0.2">
      <c r="A11" s="2">
        <v>1</v>
      </c>
      <c r="B11" s="3">
        <v>86272.727272727279</v>
      </c>
      <c r="C11" s="3">
        <v>42064.200063909993</v>
      </c>
    </row>
    <row r="12" spans="1:8" x14ac:dyDescent="0.2">
      <c r="A12" s="2" t="s">
        <v>4</v>
      </c>
      <c r="B12" s="3">
        <v>69742.5</v>
      </c>
      <c r="C12" s="3">
        <v>34096.960282424785</v>
      </c>
    </row>
    <row r="17" spans="1:10" x14ac:dyDescent="0.2">
      <c r="A17" t="s">
        <v>0</v>
      </c>
      <c r="B17" t="s">
        <v>1</v>
      </c>
    </row>
    <row r="18" spans="1:10" x14ac:dyDescent="0.2">
      <c r="A18">
        <v>19</v>
      </c>
      <c r="B18">
        <v>19000</v>
      </c>
    </row>
    <row r="21" spans="1:10" x14ac:dyDescent="0.2">
      <c r="D21" t="s">
        <v>14</v>
      </c>
      <c r="E21" t="s">
        <v>15</v>
      </c>
      <c r="F21" t="s">
        <v>16</v>
      </c>
    </row>
    <row r="22" spans="1:10" x14ac:dyDescent="0.2">
      <c r="B22" t="s">
        <v>9</v>
      </c>
      <c r="C22" t="s">
        <v>10</v>
      </c>
      <c r="D22">
        <f>1/(C5*(2*PI())^0.5)</f>
        <v>4.6323073949568014E-2</v>
      </c>
      <c r="E22">
        <f>(A18-B5)^2/(2*C5^2)</f>
        <v>5.0580099907741349</v>
      </c>
      <c r="F22">
        <f>D22*EXP(-E22)</f>
        <v>2.9453135988578659E-4</v>
      </c>
    </row>
    <row r="23" spans="1:10" x14ac:dyDescent="0.2">
      <c r="C23" t="s">
        <v>11</v>
      </c>
      <c r="D23">
        <f>1/(C11*(2*PI())^0.5)</f>
        <v>9.4841285414985217E-6</v>
      </c>
      <c r="E23">
        <f>(B18-B11)^2/(2*C11^2)</f>
        <v>1.2788594140776901</v>
      </c>
      <c r="F23">
        <f>D23*EXP(-E23)</f>
        <v>2.6399508710772777E-6</v>
      </c>
      <c r="H23">
        <f>F22*F23*D24</f>
        <v>2.7797352443219553E-10</v>
      </c>
      <c r="J23">
        <f>H23/(H23+H29)</f>
        <v>9.9697806789353447E-3</v>
      </c>
    </row>
    <row r="24" spans="1:10" x14ac:dyDescent="0.2">
      <c r="C24" t="s">
        <v>12</v>
      </c>
      <c r="D24">
        <f>H5/H6</f>
        <v>0.35749999999999998</v>
      </c>
    </row>
    <row r="28" spans="1:10" x14ac:dyDescent="0.2">
      <c r="D28" t="s">
        <v>14</v>
      </c>
      <c r="E28" t="s">
        <v>15</v>
      </c>
      <c r="F28" t="s">
        <v>16</v>
      </c>
    </row>
    <row r="29" spans="1:10" x14ac:dyDescent="0.2">
      <c r="B29" t="s">
        <v>17</v>
      </c>
      <c r="C29" t="s">
        <v>18</v>
      </c>
      <c r="D29">
        <f>1/(C4*(2*PI())^0.5)</f>
        <v>4.9956179892080253E-2</v>
      </c>
      <c r="E29">
        <f>(A18-B4)^2/(2*C4^2)</f>
        <v>1.491744848424486</v>
      </c>
      <c r="F29">
        <f>D29*EXP(-E29)</f>
        <v>1.1239129227262067E-2</v>
      </c>
      <c r="H29">
        <f>F29*F30*D31</f>
        <v>2.7603635247515216E-8</v>
      </c>
      <c r="J29">
        <f>H29/(H23+H29)</f>
        <v>0.99003021932106461</v>
      </c>
    </row>
    <row r="30" spans="1:10" x14ac:dyDescent="0.2">
      <c r="C30" t="s">
        <v>19</v>
      </c>
      <c r="D30">
        <f>1/(C10*(2*PI())^0.5)</f>
        <v>1.638261018603847E-5</v>
      </c>
      <c r="E30">
        <f>(B18-B10)^2/(2*C10^2)</f>
        <v>1.4552858501979895</v>
      </c>
      <c r="F30">
        <f>D30*EXP(-E30)</f>
        <v>3.8226143278212099E-6</v>
      </c>
    </row>
    <row r="31" spans="1:10" x14ac:dyDescent="0.2">
      <c r="C31" t="s">
        <v>20</v>
      </c>
      <c r="D31">
        <f>H4/H6</f>
        <v>0.64249999999999996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Social_Network_Ads</vt:lpstr>
      <vt:lpstr>Gaussian_calculation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2026-09-30T07:30:34Z</dcterms:created>
  <dcterms:modified xsi:type="dcterms:W3CDTF">2026-09-30T07:30:34Z</dcterms:modified>
</cp:coreProperties>
</file>